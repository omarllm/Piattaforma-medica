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  <sheet state="visible" name="Sprint 3" sheetId="3" r:id="rId6"/>
    <sheet state="visible" name="Velocity" sheetId="4" r:id="rId7"/>
  </sheets>
  <definedNames/>
  <calcPr/>
</workbook>
</file>

<file path=xl/sharedStrings.xml><?xml version="1.0" encoding="utf-8"?>
<sst xmlns="http://schemas.openxmlformats.org/spreadsheetml/2006/main" count="194" uniqueCount="113">
  <si>
    <t>Sprint 1</t>
  </si>
  <si>
    <t>Name</t>
  </si>
  <si>
    <t>Authentication sprint</t>
  </si>
  <si>
    <t>Goal</t>
  </si>
  <si>
    <t>add all functionalities of authentication</t>
  </si>
  <si>
    <t>Duration</t>
  </si>
  <si>
    <t>Process improvement</t>
  </si>
  <si>
    <t>improve sprint reporting</t>
  </si>
  <si>
    <t>Things</t>
  </si>
  <si>
    <t>Start Date</t>
  </si>
  <si>
    <t>Story Points</t>
  </si>
  <si>
    <t>End Date</t>
  </si>
  <si>
    <t>days left</t>
  </si>
  <si>
    <t>Sprint Metrics</t>
  </si>
  <si>
    <t>Things Planned</t>
  </si>
  <si>
    <t>Key Achievements</t>
  </si>
  <si>
    <t>Completed 8 user stories (24 story points) focused on authentication flows for patients and doctors (register, login, remember password, logout).
Established a unified authentication logic reusable across roles (patient/doctor).</t>
  </si>
  <si>
    <t>Points Planned</t>
  </si>
  <si>
    <t>Things done:</t>
  </si>
  <si>
    <t>Things left:</t>
  </si>
  <si>
    <t>Performance Summary</t>
  </si>
  <si>
    <t>IMTA-2557 we should have kept this one out of sprint/commitment (has depencency on audit that didn't take place in this sprint)</t>
  </si>
  <si>
    <t>Story Points done</t>
  </si>
  <si>
    <t>Story Points left:</t>
  </si>
  <si>
    <t>Sprint Backlog</t>
  </si>
  <si>
    <t>Type</t>
  </si>
  <si>
    <t>Description</t>
  </si>
  <si>
    <t>id-1</t>
  </si>
  <si>
    <t>story</t>
  </si>
  <si>
    <t>As a patient, I want to register.</t>
  </si>
  <si>
    <t>id-2</t>
  </si>
  <si>
    <t xml:space="preserve">As a patient, I want to login. </t>
  </si>
  <si>
    <t>id-3</t>
  </si>
  <si>
    <t xml:space="preserve">As a patient, I want the site to remember my password. </t>
  </si>
  <si>
    <t>id-4</t>
  </si>
  <si>
    <t>As a patient, I want to logout.</t>
  </si>
  <si>
    <t>id-5</t>
  </si>
  <si>
    <t xml:space="preserve">As a doctor, I want to register. </t>
  </si>
  <si>
    <t>id-6</t>
  </si>
  <si>
    <t xml:space="preserve">As a doctor, I want to login. </t>
  </si>
  <si>
    <t>id-7</t>
  </si>
  <si>
    <t xml:space="preserve">As a doctor, I want the site to remember my password. </t>
  </si>
  <si>
    <t>id-8</t>
  </si>
  <si>
    <t xml:space="preserve">As a doctor, I want to logout. </t>
  </si>
  <si>
    <t>Sprint 2</t>
  </si>
  <si>
    <t>Main sprint</t>
  </si>
  <si>
    <t>add main functionality</t>
  </si>
  <si>
    <t>improve sprint planning</t>
  </si>
  <si>
    <t>Key Achievements
Completed 12 user stories (44 story points) focused on advanced doctor–patient interactions (patient management, report upload/delete, profile visualization, messaging).
Implemented end-to-end workflow for analysis reports: upload → share with patient → patient visualization.
Introduced patient–doctor communication via chat for clarifications on reports.
Process Improvements
Process improvement from previous sprint achieved: clearer separation between patient and doctor responsibilities in backlog refinement.
Process improvement from current sprint partly achieved: started adoption of report management automation, but full integration with patient notification still pending.</t>
  </si>
  <si>
    <t>id-9</t>
  </si>
  <si>
    <t>As a doctor, I want to add patients to my list of patients.</t>
  </si>
  <si>
    <t>id-10</t>
  </si>
  <si>
    <t>As a doctor, I want to remove patients to my list of patients.</t>
  </si>
  <si>
    <t>id-11</t>
  </si>
  <si>
    <t>As a doctor, I want to search patients.</t>
  </si>
  <si>
    <t>id-12</t>
  </si>
  <si>
    <t>As a doctor, I want to see the entire medical profile of my patients.</t>
  </si>
  <si>
    <t>id-13</t>
  </si>
  <si>
    <t>As a doctor, I want to upload the analysis reports of my patients.</t>
  </si>
  <si>
    <t>id-14</t>
  </si>
  <si>
    <t>As a doctor, I want to delete my reports.</t>
  </si>
  <si>
    <t>id-15</t>
  </si>
  <si>
    <t>As a doctor, I want to share the analysis reports with the patients, with explanation.</t>
  </si>
  <si>
    <t>id-16</t>
  </si>
  <si>
    <t xml:space="preserve">As a doctor, I want to filter my reports by sector.	</t>
  </si>
  <si>
    <t>id-17</t>
  </si>
  <si>
    <t>As a patient, I want to visualize the analysis reports shared by the doctor.</t>
  </si>
  <si>
    <t>id-18</t>
  </si>
  <si>
    <t xml:space="preserve">As a doctor, I want to have contact of patients along with reports.	</t>
  </si>
  <si>
    <t>id-19</t>
  </si>
  <si>
    <t>As a patient, I want to be notified by the doctor if he sees bad things in reports.</t>
  </si>
  <si>
    <t>id-20</t>
  </si>
  <si>
    <t>As a doctor, I want to send messages to my patients through a chat in case of further explanation.</t>
  </si>
  <si>
    <t>Sprint 3</t>
  </si>
  <si>
    <t>Details sprint</t>
  </si>
  <si>
    <t>add more awesome functionality</t>
  </si>
  <si>
    <t>Key Achievements
Completed 14 user stories (50 story points) focused on reminders, notifications, and doctor–patient communication.
Delivered full reminder management: set, edit, remove, and timeline visualization with notification history.
Enabled multi-doctor collaboration through chat and email to improve patient case comparisons.
Added patient features for exporting reports as PDF and managing contact/notification preferences.
Process Improvements
Process improvement from previous sprint achieved: better handling of dependencies between messaging and notification features during backlog refinement.
Process improvement from current sprint partly achieved: initial integration of notification preferences with profile management, pending full rollout of cross-channel alerts.</t>
  </si>
  <si>
    <t>id-21</t>
  </si>
  <si>
    <t>As a patient, I want to send messages to my doctors through a chat in case of explanation, after the doctor has contacted me.</t>
  </si>
  <si>
    <t>id-22</t>
  </si>
  <si>
    <t>As a doctor, I want to contact other doctors of my patients via email.</t>
  </si>
  <si>
    <t>id-23</t>
  </si>
  <si>
    <t>As a doctor, I want to have contact of other doctors of my patients for a further comparison.</t>
  </si>
  <si>
    <t>id-24</t>
  </si>
  <si>
    <t>As a doctor, I want to send messages to other doctors of my patients through a chat.</t>
  </si>
  <si>
    <t>id-25</t>
  </si>
  <si>
    <t>As a doctor, I want to access analysis reports of other sectors.</t>
  </si>
  <si>
    <t>id-26</t>
  </si>
  <si>
    <t>As a patient, I want to be notified when it's time to get new analysis.</t>
  </si>
  <si>
    <t>id-27</t>
  </si>
  <si>
    <t>As a doctor, I want to set the reminder cadence per test type.</t>
  </si>
  <si>
    <t>id-28</t>
  </si>
  <si>
    <t>As a doctor, I want to edit the reminder.</t>
  </si>
  <si>
    <t>id-29</t>
  </si>
  <si>
    <t>As a patient, I want to see a timeline with upcoming reminders and notification history.</t>
  </si>
  <si>
    <t>id-30</t>
  </si>
  <si>
    <t>As a patient, I want to manage my contact info &amp; notification preferences from profile.</t>
  </si>
  <si>
    <t>id-31</t>
  </si>
  <si>
    <t>As a patient, I want to export my reports as PDF.</t>
  </si>
  <si>
    <t>id-32</t>
  </si>
  <si>
    <t>As a doctor, I want to remove a reminder.</t>
  </si>
  <si>
    <t>id-33</t>
  </si>
  <si>
    <t>As a patient, I want to be able to open the report file.</t>
  </si>
  <si>
    <t>id-34</t>
  </si>
  <si>
    <t>As a patient, I want to reply to the report once received.</t>
  </si>
  <si>
    <t>Velocity</t>
  </si>
  <si>
    <t>Sprint</t>
  </si>
  <si>
    <t>Planned Things</t>
  </si>
  <si>
    <t>Planned Points</t>
  </si>
  <si>
    <t>Finished Things</t>
  </si>
  <si>
    <t>Finished Points</t>
  </si>
  <si>
    <t>Points per dev day</t>
  </si>
  <si>
    <t>Commit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</si>
</sst>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8">
    <font>
      <sz val="10.0"/>
      <color rgb="FF000000"/>
      <name val="Aptos Narrow"/>
      <scheme val="minor"/>
    </font>
    <font>
      <b/>
      <sz val="24.0"/>
      <color rgb="FF434343"/>
      <name val="Calibri"/>
    </font>
    <font/>
    <font>
      <sz val="12.0"/>
      <color theme="1"/>
      <name val="Calibri"/>
    </font>
    <font>
      <sz val="10.0"/>
      <color theme="1"/>
      <name val="Calibri"/>
    </font>
    <font>
      <b/>
      <sz val="12.0"/>
      <color rgb="FF666666"/>
      <name val="Calibri"/>
    </font>
    <font>
      <sz val="12.0"/>
      <color rgb="FF666666"/>
      <name val="Calibri"/>
    </font>
    <font>
      <b/>
      <sz val="100.0"/>
      <color rgb="FFB7B7B7"/>
      <name val="Calibri"/>
    </font>
    <font>
      <sz val="12.0"/>
      <color rgb="FFB7B7B7"/>
      <name val="Calibri"/>
    </font>
    <font>
      <sz val="11.0"/>
      <color rgb="FF666666"/>
      <name val="Calibri"/>
    </font>
    <font>
      <sz val="11.0"/>
      <color rgb="FF000000"/>
      <name val="Inconsolata"/>
    </font>
    <font>
      <b/>
      <sz val="10.0"/>
      <color rgb="FF666666"/>
      <name val="Calibri"/>
    </font>
    <font>
      <i/>
      <sz val="12.0"/>
      <color rgb="FF666666"/>
      <name val="Calibri"/>
    </font>
    <font>
      <sz val="11.0"/>
      <color rgb="FF188038"/>
      <name val="Arial"/>
    </font>
    <font>
      <sz val="9.0"/>
      <color rgb="FF505F79"/>
      <name val="Inherit"/>
    </font>
    <font>
      <u/>
      <sz val="11.0"/>
      <color rgb="FF333333"/>
      <name val="-apple-system"/>
    </font>
    <font>
      <sz val="11.0"/>
      <color rgb="FF333333"/>
      <name val="-apple-system"/>
    </font>
    <font>
      <b/>
      <sz val="11.0"/>
      <color rgb="FF707070"/>
      <name val="-apple-system"/>
    </font>
    <font>
      <sz val="11.0"/>
      <color rgb="FF172B4D"/>
      <name val="-apple-system"/>
    </font>
    <font>
      <sz val="11.0"/>
      <color theme="1"/>
      <name val="Calibri"/>
    </font>
    <font>
      <sz val="11.0"/>
      <color rgb="FF434343"/>
      <name val="Roboto"/>
    </font>
    <font>
      <b/>
      <sz val="12.0"/>
      <color rgb="FFFFFFFF"/>
      <name val="Calibri"/>
    </font>
    <font>
      <b/>
      <sz val="12.0"/>
      <color theme="1"/>
      <name val="Calibri"/>
    </font>
    <font>
      <sz val="12.0"/>
      <color rgb="FFFFFFFF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sz val="12.0"/>
      <color rgb="FF999999"/>
      <name val="Calibri"/>
    </font>
    <font>
      <b/>
      <sz val="18.0"/>
      <color rgb="FFFFFFFF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666666"/>
        <bgColor rgb="FF666666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  <border>
      <left/>
      <right/>
    </border>
    <border>
      <left/>
      <right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/>
    </xf>
    <xf borderId="0" fillId="0" fontId="4" numFmtId="0" xfId="0" applyFont="1"/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horizontal="left" vertical="center"/>
    </xf>
    <xf borderId="4" fillId="3" fontId="5" numFmtId="0" xfId="0" applyAlignment="1" applyBorder="1" applyFill="1" applyFont="1">
      <alignment vertical="center"/>
    </xf>
    <xf borderId="4" fillId="3" fontId="6" numFmtId="0" xfId="0" applyAlignment="1" applyBorder="1" applyFont="1">
      <alignment horizontal="center" vertical="center"/>
    </xf>
    <xf borderId="5" fillId="3" fontId="7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4" fillId="2" fontId="5" numFmtId="0" xfId="0" applyAlignment="1" applyBorder="1" applyFont="1">
      <alignment vertical="center"/>
    </xf>
    <xf borderId="4" fillId="2" fontId="6" numFmtId="0" xfId="0" applyAlignment="1" applyBorder="1" applyFont="1">
      <alignment horizontal="center" vertical="center"/>
    </xf>
    <xf borderId="6" fillId="0" fontId="2" numFmtId="0" xfId="0" applyBorder="1" applyFont="1"/>
    <xf borderId="0" fillId="0" fontId="5" numFmtId="0" xfId="0" applyAlignment="1" applyFont="1">
      <alignment vertical="center"/>
    </xf>
    <xf borderId="0" fillId="0" fontId="6" numFmtId="164" xfId="0" applyAlignment="1" applyFont="1" applyNumberFormat="1">
      <alignment horizontal="left" readingOrder="0" vertical="center"/>
    </xf>
    <xf borderId="7" fillId="0" fontId="2" numFmtId="0" xfId="0" applyBorder="1" applyFont="1"/>
    <xf borderId="0" fillId="0" fontId="8" numFmtId="0" xfId="0" applyAlignment="1" applyFont="1">
      <alignment horizontal="center" vertical="center"/>
    </xf>
    <xf borderId="1" fillId="2" fontId="6" numFmtId="0" xfId="0" applyAlignment="1" applyBorder="1" applyFont="1">
      <alignment horizontal="left" vertical="center"/>
    </xf>
    <xf borderId="0" fillId="0" fontId="5" numFmtId="0" xfId="0" applyAlignment="1" applyFont="1">
      <alignment vertical="top"/>
    </xf>
    <xf borderId="0" fillId="0" fontId="6" numFmtId="0" xfId="0" applyAlignment="1" applyFont="1">
      <alignment readingOrder="0" shrinkToFit="0" vertical="top" wrapText="1"/>
    </xf>
    <xf borderId="1" fillId="4" fontId="6" numFmtId="0" xfId="0" applyAlignment="1" applyBorder="1" applyFill="1" applyFont="1">
      <alignment horizontal="left" vertical="center"/>
    </xf>
    <xf borderId="4" fillId="2" fontId="6" numFmtId="0" xfId="0" applyAlignment="1" applyBorder="1" applyFont="1">
      <alignment horizontal="center" readingOrder="0" vertical="center"/>
    </xf>
    <xf borderId="4" fillId="2" fontId="9" numFmtId="0" xfId="0" applyAlignment="1" applyBorder="1" applyFont="1">
      <alignment horizontal="center" readingOrder="0" vertical="center"/>
    </xf>
    <xf borderId="0" fillId="0" fontId="6" numFmtId="0" xfId="0" applyAlignment="1" applyFont="1">
      <alignment shrinkToFit="0" vertical="top" wrapText="1"/>
    </xf>
    <xf borderId="1" fillId="2" fontId="3" numFmtId="0" xfId="0" applyAlignment="1" applyBorder="1" applyFont="1">
      <alignment horizontal="left" vertical="center"/>
    </xf>
    <xf borderId="4" fillId="2" fontId="10" numFmtId="0" xfId="0" applyBorder="1" applyFont="1"/>
    <xf borderId="0" fillId="0" fontId="5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8" fillId="0" fontId="6" numFmtId="0" xfId="0" applyAlignment="1" applyBorder="1" applyFont="1">
      <alignment horizontal="center" vertical="top"/>
    </xf>
    <xf borderId="8" fillId="3" fontId="6" numFmtId="0" xfId="0" applyAlignment="1" applyBorder="1" applyFont="1">
      <alignment horizontal="center" vertical="top"/>
    </xf>
    <xf borderId="0" fillId="0" fontId="6" numFmtId="0" xfId="0" applyAlignment="1" applyFont="1">
      <alignment horizontal="center" readingOrder="0" vertical="top"/>
    </xf>
    <xf borderId="9" fillId="3" fontId="6" numFmtId="0" xfId="0" applyAlignment="1" applyBorder="1" applyFont="1">
      <alignment horizontal="left" vertical="top"/>
    </xf>
    <xf borderId="10" fillId="0" fontId="2" numFmtId="0" xfId="0" applyBorder="1" applyFont="1"/>
    <xf borderId="11" fillId="0" fontId="2" numFmtId="0" xfId="0" applyBorder="1" applyFont="1"/>
    <xf borderId="0" fillId="0" fontId="12" numFmtId="0" xfId="0" applyAlignment="1" applyFont="1">
      <alignment horizontal="left"/>
    </xf>
    <xf borderId="0" fillId="0" fontId="6" numFmtId="0" xfId="0" applyAlignment="1" applyFont="1">
      <alignment horizontal="left"/>
    </xf>
    <xf borderId="4" fillId="3" fontId="13" numFmtId="0" xfId="0" applyAlignment="1" applyBorder="1" applyFont="1">
      <alignment horizontal="left"/>
    </xf>
    <xf borderId="0" fillId="0" fontId="6" numFmtId="0" xfId="0" applyAlignment="1" applyFont="1">
      <alignment horizontal="center" vertical="top"/>
    </xf>
    <xf borderId="8" fillId="3" fontId="6" numFmtId="0" xfId="0" applyAlignment="1" applyBorder="1" applyFont="1">
      <alignment horizontal="center" readingOrder="0" vertical="top"/>
    </xf>
    <xf borderId="9" fillId="3" fontId="6" numFmtId="0" xfId="0" applyAlignment="1" applyBorder="1" applyFont="1">
      <alignment horizontal="left" readingOrder="0" vertical="top"/>
    </xf>
    <xf borderId="9" fillId="0" fontId="6" numFmtId="0" xfId="0" applyAlignment="1" applyBorder="1" applyFont="1">
      <alignment readingOrder="0"/>
    </xf>
    <xf borderId="0" fillId="0" fontId="3" numFmtId="0" xfId="0" applyFont="1"/>
    <xf borderId="0" fillId="0" fontId="14" numFmtId="0" xfId="0" applyAlignment="1" applyFont="1">
      <alignment horizontal="left"/>
    </xf>
    <xf borderId="0" fillId="0" fontId="6" numFmtId="0" xfId="0" applyAlignment="1" applyFont="1">
      <alignment readingOrder="0"/>
    </xf>
    <xf borderId="4" fillId="3" fontId="15" numFmtId="0" xfId="0" applyAlignment="1" applyBorder="1" applyFont="1">
      <alignment horizontal="left" vertical="top"/>
    </xf>
    <xf borderId="4" fillId="3" fontId="16" numFmtId="0" xfId="0" applyAlignment="1" applyBorder="1" applyFont="1">
      <alignment horizontal="left" vertical="top"/>
    </xf>
    <xf borderId="0" fillId="0" fontId="6" numFmtId="0" xfId="0" applyAlignment="1" applyFont="1">
      <alignment horizontal="center"/>
    </xf>
    <xf borderId="0" fillId="0" fontId="6" numFmtId="0" xfId="0" applyFont="1"/>
    <xf borderId="4" fillId="3" fontId="17" numFmtId="0" xfId="0" applyAlignment="1" applyBorder="1" applyFont="1">
      <alignment horizontal="left" vertical="top"/>
    </xf>
    <xf borderId="0" fillId="0" fontId="3" numFmtId="0" xfId="0" applyAlignment="1" applyFont="1">
      <alignment horizontal="left" vertical="center"/>
    </xf>
    <xf borderId="4" fillId="3" fontId="18" numFmtId="0" xfId="0" applyAlignment="1" applyBorder="1" applyFont="1">
      <alignment vertical="top"/>
    </xf>
    <xf borderId="0" fillId="0" fontId="19" numFmtId="0" xfId="0" applyAlignment="1" applyFont="1">
      <alignment horizontal="left" vertical="center"/>
    </xf>
    <xf borderId="0" fillId="0" fontId="19" numFmtId="0" xfId="0" applyAlignment="1" applyFont="1">
      <alignment horizontal="center"/>
    </xf>
    <xf borderId="0" fillId="0" fontId="19" numFmtId="0" xfId="0" applyFont="1"/>
    <xf borderId="1" fillId="2" fontId="1" numFmtId="0" xfId="0" applyAlignment="1" applyBorder="1" applyFont="1">
      <alignment horizontal="left" readingOrder="0" vertical="center"/>
    </xf>
    <xf borderId="0" fillId="0" fontId="6" numFmtId="0" xfId="0" applyAlignment="1" applyFont="1">
      <alignment horizontal="left" readingOrder="0" vertical="center"/>
    </xf>
    <xf borderId="0" fillId="0" fontId="6" numFmtId="0" xfId="0" applyAlignment="1" applyFont="1">
      <alignment readingOrder="0" vertical="center"/>
    </xf>
    <xf borderId="4" fillId="2" fontId="6" numFmtId="0" xfId="0" applyAlignment="1" applyBorder="1" applyFont="1">
      <alignment horizontal="center" vertical="center"/>
    </xf>
    <xf borderId="12" fillId="3" fontId="6" numFmtId="0" xfId="0" applyAlignment="1" applyBorder="1" applyFont="1">
      <alignment horizontal="center" vertical="top"/>
    </xf>
    <xf borderId="11" fillId="5" fontId="20" numFmtId="0" xfId="0" applyAlignment="1" applyBorder="1" applyFill="1" applyFont="1">
      <alignment horizontal="center" shrinkToFit="0" wrapText="0"/>
    </xf>
    <xf borderId="8" fillId="0" fontId="4" numFmtId="0" xfId="0" applyBorder="1" applyFont="1"/>
    <xf borderId="8" fillId="3" fontId="13" numFmtId="0" xfId="0" applyAlignment="1" applyBorder="1" applyFont="1">
      <alignment horizontal="left"/>
    </xf>
    <xf borderId="8" fillId="0" fontId="5" numFmtId="0" xfId="0" applyAlignment="1" applyBorder="1" applyFont="1">
      <alignment horizontal="center" vertical="center"/>
    </xf>
    <xf borderId="8" fillId="3" fontId="20" numFmtId="0" xfId="0" applyAlignment="1" applyBorder="1" applyFont="1">
      <alignment horizontal="center" shrinkToFit="0" wrapText="0"/>
    </xf>
    <xf borderId="8" fillId="3" fontId="6" numFmtId="0" xfId="0" applyAlignment="1" applyBorder="1" applyFont="1">
      <alignment horizontal="left" readingOrder="0" vertical="top"/>
    </xf>
    <xf borderId="8" fillId="3" fontId="6" numFmtId="0" xfId="0" applyAlignment="1" applyBorder="1" applyFont="1">
      <alignment horizontal="left" vertical="top"/>
    </xf>
    <xf borderId="8" fillId="0" fontId="6" numFmtId="0" xfId="0" applyAlignment="1" applyBorder="1" applyFont="1">
      <alignment readingOrder="0"/>
    </xf>
    <xf borderId="8" fillId="0" fontId="6" numFmtId="0" xfId="0" applyBorder="1" applyFont="1"/>
    <xf borderId="0" fillId="3" fontId="20" numFmtId="0" xfId="0" applyAlignment="1" applyFont="1">
      <alignment horizontal="center" readingOrder="0" shrinkToFit="0" wrapText="0"/>
    </xf>
    <xf borderId="0" fillId="0" fontId="6" numFmtId="0" xfId="0" applyAlignment="1" applyFont="1">
      <alignment horizontal="center" readingOrder="0"/>
    </xf>
    <xf borderId="8" fillId="0" fontId="6" numFmtId="0" xfId="0" applyAlignment="1" applyBorder="1" applyFont="1">
      <alignment horizontal="center"/>
    </xf>
    <xf borderId="8" fillId="3" fontId="17" numFmtId="0" xfId="0" applyAlignment="1" applyBorder="1" applyFont="1">
      <alignment horizontal="left" vertical="top"/>
    </xf>
    <xf borderId="8" fillId="3" fontId="18" numFmtId="0" xfId="0" applyAlignment="1" applyBorder="1" applyFont="1">
      <alignment vertical="top"/>
    </xf>
    <xf borderId="8" fillId="0" fontId="3" numFmtId="0" xfId="0" applyAlignment="1" applyBorder="1" applyFont="1">
      <alignment horizontal="left" vertical="center"/>
    </xf>
    <xf borderId="4" fillId="6" fontId="21" numFmtId="0" xfId="0" applyAlignment="1" applyBorder="1" applyFill="1" applyFont="1">
      <alignment horizontal="center" vertical="center"/>
    </xf>
    <xf borderId="4" fillId="2" fontId="22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vertical="center"/>
    </xf>
    <xf borderId="4" fillId="6" fontId="23" numFmtId="0" xfId="0" applyAlignment="1" applyBorder="1" applyFont="1">
      <alignment horizontal="center" vertical="center"/>
    </xf>
    <xf borderId="4" fillId="2" fontId="24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5" fillId="3" fontId="25" numFmtId="0" xfId="0" applyAlignment="1" applyBorder="1" applyFont="1">
      <alignment horizontal="center" vertical="center"/>
    </xf>
    <xf borderId="5" fillId="3" fontId="26" numFmtId="0" xfId="0" applyAlignment="1" applyBorder="1" applyFont="1">
      <alignment horizontal="center" vertical="center"/>
    </xf>
    <xf borderId="0" fillId="0" fontId="26" numFmtId="0" xfId="0" applyAlignment="1" applyFont="1">
      <alignment horizontal="center" vertical="center"/>
    </xf>
    <xf borderId="0" fillId="0" fontId="26" numFmtId="0" xfId="0" applyAlignment="1" applyFont="1">
      <alignment vertical="center"/>
    </xf>
    <xf borderId="1" fillId="2" fontId="26" numFmtId="0" xfId="0" applyAlignment="1" applyBorder="1" applyFont="1">
      <alignment horizontal="center" vertical="center"/>
    </xf>
    <xf borderId="8" fillId="3" fontId="26" numFmtId="0" xfId="0" applyAlignment="1" applyBorder="1" applyFont="1">
      <alignment horizontal="center" vertical="center"/>
    </xf>
    <xf borderId="1" fillId="7" fontId="21" numFmtId="0" xfId="0" applyAlignment="1" applyBorder="1" applyFill="1" applyFont="1">
      <alignment horizontal="center" vertical="center"/>
    </xf>
    <xf borderId="8" fillId="3" fontId="25" numFmtId="0" xfId="0" applyAlignment="1" applyBorder="1" applyFont="1">
      <alignment horizontal="center" vertical="center"/>
    </xf>
    <xf borderId="8" fillId="3" fontId="25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8" fillId="3" fontId="25" numFmtId="0" xfId="0" applyAlignment="1" applyBorder="1" applyFont="1">
      <alignment horizontal="center" readingOrder="0" vertical="center"/>
    </xf>
    <xf borderId="4" fillId="8" fontId="27" numFmtId="0" xfId="0" applyAlignment="1" applyBorder="1" applyFill="1" applyFont="1">
      <alignment horizontal="center" vertical="center"/>
    </xf>
    <xf borderId="1" fillId="8" fontId="21" numFmtId="0" xfId="0" applyAlignment="1" applyBorder="1" applyFont="1">
      <alignment horizontal="center" vertical="center"/>
    </xf>
    <xf borderId="8" fillId="4" fontId="25" numFmtId="0" xfId="0" applyAlignment="1" applyBorder="1" applyFont="1">
      <alignment horizontal="center" vertical="center"/>
    </xf>
    <xf borderId="8" fillId="0" fontId="25" numFmtId="0" xfId="0" applyAlignment="1" applyBorder="1" applyFont="1">
      <alignment horizontal="center" vertical="center"/>
    </xf>
    <xf borderId="4" fillId="6" fontId="23" numFmtId="2" xfId="0" applyAlignment="1" applyBorder="1" applyFont="1" applyNumberFormat="1">
      <alignment horizontal="center" vertical="center"/>
    </xf>
    <xf borderId="4" fillId="2" fontId="26" numFmtId="0" xfId="0" applyAlignment="1" applyBorder="1" applyFont="1">
      <alignment horizontal="center" vertical="center"/>
    </xf>
    <xf borderId="0" fillId="0" fontId="3" numFmtId="2" xfId="0" applyAlignment="1" applyFont="1" applyNumberFormat="1">
      <alignment horizontal="center" readingOrder="0" vertical="center"/>
    </xf>
    <xf borderId="0" fillId="0" fontId="3" numFmtId="2" xfId="0" applyAlignment="1" applyFont="1" applyNumberFormat="1">
      <alignment horizontal="center" vertical="center"/>
    </xf>
    <xf borderId="4" fillId="6" fontId="23" numFmtId="9" xfId="0" applyAlignment="1" applyBorder="1" applyFont="1" applyNumberFormat="1">
      <alignment horizontal="center" vertical="center"/>
    </xf>
    <xf borderId="0" fillId="0" fontId="3" numFmtId="9" xfId="0" applyAlignment="1" applyFont="1" applyNumberFormat="1">
      <alignment horizontal="center" vertical="center"/>
    </xf>
    <xf borderId="0" fillId="0" fontId="3" numFmtId="9" xfId="0" applyAlignment="1" applyFont="1" applyNumberFormat="1">
      <alignment horizontal="center" readingOrder="0" vertical="center"/>
    </xf>
    <xf borderId="0" fillId="0" fontId="22" numFmtId="0" xfId="0" applyAlignment="1" applyFont="1">
      <alignment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2" pivot="0" name="Sprint 2-style">
      <tableStyleElement dxfId="1" type="firstRowStripe"/>
      <tableStyleElement dxfId="2" type="secondRowStripe"/>
    </tableStyle>
    <tableStyle count="2" pivot="0" name="Sprint 3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4984183918691002"/>
          <c:y val="0.05952380952380952"/>
          <c:w val="0.9025070025723971"/>
          <c:h val="0.889373701494918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B6D7A8"/>
              </a:solidFill>
            </c:spPr>
          </c:dPt>
          <c:dPt>
            <c:idx val="1"/>
            <c:spPr>
              <a:solidFill>
                <a:srgbClr val="999999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'Sprint 1'!$A$12:$A$13</c:f>
            </c:strRef>
          </c:cat>
          <c:val>
            <c:numRef>
              <c:f>'Sprint 1'!$C$12:$C$13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35"/>
      </c:doughnutChart>
    </c:plotArea>
    <c:legend>
      <c:legendPos val="r"/>
      <c:overlay val="0"/>
      <c:txPr>
        <a:bodyPr/>
        <a:lstStyle/>
        <a:p>
          <a:pPr lvl="0">
            <a:defRPr b="0" i="1" sz="1600">
              <a:solidFill>
                <a:srgbClr val="999999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4984183918691002"/>
          <c:y val="0.05952380952380952"/>
          <c:w val="0.9025070025723971"/>
          <c:h val="0.889373701494918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B6D7A8"/>
              </a:solidFill>
            </c:spPr>
          </c:dPt>
          <c:dPt>
            <c:idx val="1"/>
            <c:spPr>
              <a:solidFill>
                <a:srgbClr val="999999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'Sprint 2'!$A$12:$A$13</c:f>
            </c:strRef>
          </c:cat>
          <c:val>
            <c:numRef>
              <c:f>'Sprint 2'!$C$12:$C$13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35"/>
      </c:doughnutChart>
    </c:plotArea>
    <c:legend>
      <c:legendPos val="r"/>
      <c:overlay val="0"/>
      <c:txPr>
        <a:bodyPr/>
        <a:lstStyle/>
        <a:p>
          <a:pPr lvl="0">
            <a:defRPr b="0" i="1" sz="1600">
              <a:solidFill>
                <a:srgbClr val="999999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4984183918691002"/>
          <c:y val="0.05952380952380952"/>
          <c:w val="0.9025070025723971"/>
          <c:h val="0.889373701494918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B6D7A8"/>
              </a:solidFill>
            </c:spPr>
          </c:dPt>
          <c:dPt>
            <c:idx val="1"/>
            <c:spPr>
              <a:solidFill>
                <a:srgbClr val="999999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'Sprint 3'!$A$12:$A$13</c:f>
            </c:strRef>
          </c:cat>
          <c:val>
            <c:numRef>
              <c:f>'Sprint 3'!$C$12:$C$13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35"/>
      </c:doughnutChart>
    </c:plotArea>
    <c:legend>
      <c:legendPos val="r"/>
      <c:overlay val="0"/>
      <c:txPr>
        <a:bodyPr/>
        <a:lstStyle/>
        <a:p>
          <a:pPr lvl="0">
            <a:defRPr b="0" i="1" sz="1600">
              <a:solidFill>
                <a:srgbClr val="999999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E06666">
                <a:alpha val="30000"/>
              </a:srgbClr>
            </a:solidFill>
            <a:ln cmpd="sng">
              <a:solidFill>
                <a:srgbClr val="E06666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Velocity!$C$4:$K$4</c:f>
              <c:numCache/>
            </c:numRef>
          </c:val>
        </c:ser>
        <c:ser>
          <c:idx val="1"/>
          <c:order val="1"/>
          <c:spPr>
            <a:solidFill>
              <a:srgbClr val="93C47D">
                <a:alpha val="30000"/>
              </a:srgbClr>
            </a:solidFill>
            <a:ln cmpd="sng">
              <a:solidFill>
                <a:srgbClr val="93C47D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Velocity!$C$6:$K$6</c:f>
              <c:numCache/>
            </c:numRef>
          </c:val>
        </c:ser>
        <c:axId val="84301224"/>
        <c:axId val="402082417"/>
      </c:areaChart>
      <c:catAx>
        <c:axId val="84301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402082417"/>
      </c:catAx>
      <c:valAx>
        <c:axId val="4020824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84301224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2047875</xdr:colOff>
      <xdr:row>5</xdr:row>
      <xdr:rowOff>266700</xdr:rowOff>
    </xdr:from>
    <xdr:ext cx="9763125" cy="25717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2057400</xdr:colOff>
      <xdr:row>6</xdr:row>
      <xdr:rowOff>533400</xdr:rowOff>
    </xdr:from>
    <xdr:ext cx="7591425" cy="19907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2057400</xdr:colOff>
      <xdr:row>6</xdr:row>
      <xdr:rowOff>533400</xdr:rowOff>
    </xdr:from>
    <xdr:ext cx="7591425" cy="19907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809625</xdr:colOff>
      <xdr:row>0</xdr:row>
      <xdr:rowOff>361950</xdr:rowOff>
    </xdr:from>
    <xdr:ext cx="5305425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headerRowCount="0" ref="C17:C28" displayName="Table_1" name="Table_1" id="1">
  <tableColumns count="1">
    <tableColumn name="Column1" id="1"/>
  </tableColumns>
  <tableStyleInfo name="Sprint 2-style" showColumnStripes="0" showFirstColumn="1" showLastColumn="1" showRowStripes="1"/>
</table>
</file>

<file path=xl/tables/table2.xml><?xml version="1.0" encoding="utf-8"?>
<table xmlns="http://schemas.openxmlformats.org/spreadsheetml/2006/main" headerRowCount="0" ref="C17:C28" displayName="Table_2" name="Table_2" id="2">
  <tableColumns count="1">
    <tableColumn name="Column1" id="1"/>
  </tableColumns>
  <tableStyleInfo name="Sprint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aflood.atlassian.net/rest/api/1.0/issues/67026/ActionsAndOperations?atl_token=BX0A-EJNG-W3GV-DQ30_e39edda9a2a08eb96f59ea739eaaafcf3917c298_lin" TargetMode="External"/><Relationship Id="rId2" Type="http://schemas.openxmlformats.org/officeDocument/2006/relationships/hyperlink" Target="https://eaflood.atlassian.net/rest/api/1.0/issues/67122/ActionsAndOperations?atl_token=BX0A-EJNG-W3GV-DQ30_e39edda9a2a08eb96f59ea739eaaafcf3917c298_lin" TargetMode="External"/><Relationship Id="rId3" Type="http://schemas.openxmlformats.org/officeDocument/2006/relationships/hyperlink" Target="https://eaflood.atlassian.net/rest/api/1.0/issues/59659/ActionsAndOperations?atl_token=BX0A-EJNG-W3GV-DQ30_e39edda9a2a08eb96f59ea739eaaafcf3917c298_lin" TargetMode="External"/><Relationship Id="rId4" Type="http://schemas.openxmlformats.org/officeDocument/2006/relationships/hyperlink" Target="https://eaflood.atlassian.net/rest/api/1.0/issues/68906/ActionsAndOperations?atl_token=BX0A-EJNG-W3GV-DQ30_e39edda9a2a08eb96f59ea739eaaafcf3917c298_lin" TargetMode="External"/><Relationship Id="rId5" Type="http://schemas.openxmlformats.org/officeDocument/2006/relationships/hyperlink" Target="https://eaflood.atlassian.net/rest/api/1.0/issues/68908/ActionsAndOperations?atl_token=BX0A-EJNG-W3GV-DQ30_e39edda9a2a08eb96f59ea739eaaafcf3917c298_lin" TargetMode="External"/><Relationship Id="rId6" Type="http://schemas.openxmlformats.org/officeDocument/2006/relationships/hyperlink" Target="https://eaflood.atlassian.net/rest/api/1.0/issues/70391/ActionsAndOperations?atl_token=BX0A-EJNG-W3GV-DQ30_e39edda9a2a08eb96f59ea739eaaafcf3917c298_lin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aflood.atlassian.net/rest/api/1.0/issues/67026/ActionsAndOperations?atl_token=BX0A-EJNG-W3GV-DQ30_e39edda9a2a08eb96f59ea739eaaafcf3917c298_lin" TargetMode="External"/><Relationship Id="rId2" Type="http://schemas.openxmlformats.org/officeDocument/2006/relationships/hyperlink" Target="https://eaflood.atlassian.net/rest/api/1.0/issues/67122/ActionsAndOperations?atl_token=BX0A-EJNG-W3GV-DQ30_e39edda9a2a08eb96f59ea739eaaafcf3917c298_lin" TargetMode="External"/><Relationship Id="rId3" Type="http://schemas.openxmlformats.org/officeDocument/2006/relationships/hyperlink" Target="https://eaflood.atlassian.net/rest/api/1.0/issues/59659/ActionsAndOperations?atl_token=BX0A-EJNG-W3GV-DQ30_e39edda9a2a08eb96f59ea739eaaafcf3917c298_lin" TargetMode="External"/><Relationship Id="rId4" Type="http://schemas.openxmlformats.org/officeDocument/2006/relationships/hyperlink" Target="https://eaflood.atlassian.net/rest/api/1.0/issues/68906/ActionsAndOperations?atl_token=BX0A-EJNG-W3GV-DQ30_e39edda9a2a08eb96f59ea739eaaafcf3917c298_lin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eaflood.atlassian.net/rest/api/1.0/issues/68908/ActionsAndOperations?atl_token=BX0A-EJNG-W3GV-DQ30_e39edda9a2a08eb96f59ea739eaaafcf3917c298_lin" TargetMode="External"/><Relationship Id="rId6" Type="http://schemas.openxmlformats.org/officeDocument/2006/relationships/hyperlink" Target="https://eaflood.atlassian.net/rest/api/1.0/issues/70391/ActionsAndOperations?atl_token=BX0A-EJNG-W3GV-DQ30_e39edda9a2a08eb96f59ea739eaaafcf3917c298_lin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eaflood.atlassian.net/rest/api/1.0/issues/67026/ActionsAndOperations?atl_token=BX0A-EJNG-W3GV-DQ30_e39edda9a2a08eb96f59ea739eaaafcf3917c298_lin" TargetMode="External"/><Relationship Id="rId2" Type="http://schemas.openxmlformats.org/officeDocument/2006/relationships/hyperlink" Target="https://eaflood.atlassian.net/rest/api/1.0/issues/67122/ActionsAndOperations?atl_token=BX0A-EJNG-W3GV-DQ30_e39edda9a2a08eb96f59ea739eaaafcf3917c298_lin" TargetMode="External"/><Relationship Id="rId3" Type="http://schemas.openxmlformats.org/officeDocument/2006/relationships/hyperlink" Target="https://eaflood.atlassian.net/rest/api/1.0/issues/59659/ActionsAndOperations?atl_token=BX0A-EJNG-W3GV-DQ30_e39edda9a2a08eb96f59ea739eaaafcf3917c298_lin" TargetMode="External"/><Relationship Id="rId4" Type="http://schemas.openxmlformats.org/officeDocument/2006/relationships/hyperlink" Target="https://eaflood.atlassian.net/rest/api/1.0/issues/68906/ActionsAndOperations?atl_token=BX0A-EJNG-W3GV-DQ30_e39edda9a2a08eb96f59ea739eaaafcf3917c298_lin" TargetMode="External"/><Relationship Id="rId9" Type="http://schemas.openxmlformats.org/officeDocument/2006/relationships/table" Target="../tables/table2.xml"/><Relationship Id="rId5" Type="http://schemas.openxmlformats.org/officeDocument/2006/relationships/hyperlink" Target="https://eaflood.atlassian.net/rest/api/1.0/issues/68908/ActionsAndOperations?atl_token=BX0A-EJNG-W3GV-DQ30_e39edda9a2a08eb96f59ea739eaaafcf3917c298_lin" TargetMode="External"/><Relationship Id="rId6" Type="http://schemas.openxmlformats.org/officeDocument/2006/relationships/hyperlink" Target="https://eaflood.atlassian.net/rest/api/1.0/issues/70391/ActionsAndOperations?atl_token=BX0A-EJNG-W3GV-DQ30_e39edda9a2a08eb96f59ea739eaaafcf3917c298_lin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1.71"/>
    <col customWidth="1" min="3" max="3" width="15.43"/>
    <col customWidth="1" min="4" max="4" width="26.14"/>
    <col customWidth="1" min="5" max="6" width="21.43"/>
    <col customWidth="1" min="7" max="8" width="31.0"/>
    <col customWidth="1" min="9" max="9" width="26.43"/>
    <col customWidth="1" min="10" max="26" width="12.57"/>
  </cols>
  <sheetData>
    <row r="1" ht="43.5" customHeight="1">
      <c r="A1" s="1" t="s">
        <v>0</v>
      </c>
      <c r="B1" s="2"/>
      <c r="C1" s="2"/>
      <c r="D1" s="2"/>
      <c r="E1" s="2"/>
      <c r="F1" s="2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21.75" customHeight="1">
      <c r="A2" s="6" t="s">
        <v>1</v>
      </c>
      <c r="C2" s="7" t="s">
        <v>2</v>
      </c>
      <c r="E2" s="8"/>
      <c r="F2" s="9"/>
      <c r="G2" s="10" t="str">
        <f>IF(OR(NOW() &lt; C5,NOW() &gt; C6+1), "0",NETWORKDAYS(NOW(),C6))</f>
        <v>0</v>
      </c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1.75" customHeight="1">
      <c r="A3" s="6" t="s">
        <v>3</v>
      </c>
      <c r="C3" s="11" t="s">
        <v>4</v>
      </c>
      <c r="E3" s="12" t="s">
        <v>5</v>
      </c>
      <c r="F3" s="13" t="str">
        <f>NETWORKDAYS(C5,C6)&amp;" working days"</f>
        <v>5 working days</v>
      </c>
      <c r="G3" s="1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ht="21.75" customHeight="1">
      <c r="A4" s="6" t="s">
        <v>6</v>
      </c>
      <c r="C4" s="7" t="s">
        <v>7</v>
      </c>
      <c r="E4" s="12" t="s">
        <v>8</v>
      </c>
      <c r="F4" s="13" t="str">
        <f>COUNTA(A17:A95)&amp;" things"</f>
        <v>8 things</v>
      </c>
      <c r="G4" s="14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ht="21.75" customHeight="1">
      <c r="A5" s="15" t="s">
        <v>9</v>
      </c>
      <c r="C5" s="16">
        <v>45872.0</v>
      </c>
      <c r="E5" s="12" t="s">
        <v>10</v>
      </c>
      <c r="F5" s="13" t="str">
        <f>SUM(C17:C99)&amp;" points"</f>
        <v>24 points</v>
      </c>
      <c r="G5" s="17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ht="21.75" customHeight="1">
      <c r="A6" s="15" t="s">
        <v>11</v>
      </c>
      <c r="C6" s="16">
        <v>45877.0</v>
      </c>
      <c r="G6" s="18" t="s">
        <v>12</v>
      </c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ht="43.5" customHeight="1">
      <c r="A7" s="1" t="s">
        <v>13</v>
      </c>
      <c r="B7" s="2"/>
      <c r="C7" s="2"/>
      <c r="D7" s="2"/>
      <c r="E7" s="2"/>
      <c r="F7" s="2"/>
      <c r="G7" s="3"/>
      <c r="H7" s="4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22.5" customHeight="1">
      <c r="A8" s="19" t="s">
        <v>14</v>
      </c>
      <c r="B8" s="3"/>
      <c r="C8" s="13">
        <f>COUNTA(A17:A95)</f>
        <v>8</v>
      </c>
      <c r="D8" s="20" t="s">
        <v>15</v>
      </c>
      <c r="E8" s="21" t="s">
        <v>16</v>
      </c>
      <c r="H8" s="4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ht="22.5" customHeight="1">
      <c r="A9" s="19" t="s">
        <v>17</v>
      </c>
      <c r="B9" s="3"/>
      <c r="C9" s="13">
        <f>SUM(C17:C95)</f>
        <v>24</v>
      </c>
      <c r="H9" s="4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ht="22.5" customHeight="1">
      <c r="A10" s="22" t="s">
        <v>18</v>
      </c>
      <c r="B10" s="3"/>
      <c r="C10" s="23">
        <v>8.0</v>
      </c>
      <c r="H10" s="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ht="22.5" customHeight="1">
      <c r="A11" s="19" t="s">
        <v>19</v>
      </c>
      <c r="B11" s="3"/>
      <c r="C11" s="24">
        <v>0.0</v>
      </c>
      <c r="D11" s="20" t="s">
        <v>20</v>
      </c>
      <c r="E11" s="25" t="s">
        <v>21</v>
      </c>
      <c r="H11" s="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22.5" customHeight="1">
      <c r="A12" s="22" t="s">
        <v>22</v>
      </c>
      <c r="B12" s="3"/>
      <c r="C12" s="23">
        <v>24.0</v>
      </c>
      <c r="H12" s="4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ht="22.5" customHeight="1">
      <c r="A13" s="19" t="s">
        <v>23</v>
      </c>
      <c r="B13" s="3"/>
      <c r="C13" s="23">
        <v>0.0</v>
      </c>
      <c r="H13" s="4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22.5" customHeight="1">
      <c r="A14" s="26"/>
      <c r="B14" s="3"/>
      <c r="C14" s="27"/>
      <c r="H14" s="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ht="43.5" customHeight="1">
      <c r="A15" s="1" t="s">
        <v>24</v>
      </c>
      <c r="B15" s="2"/>
      <c r="C15" s="2"/>
      <c r="D15" s="2"/>
      <c r="E15" s="2"/>
      <c r="F15" s="2"/>
      <c r="G15" s="3"/>
      <c r="H15" s="4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ht="29.25" customHeight="1">
      <c r="A16" s="28" t="str">
        <f>"Things ("&amp;COUNTA(A17:A98)&amp;")"</f>
        <v>Things (8)</v>
      </c>
      <c r="B16" s="28" t="s">
        <v>25</v>
      </c>
      <c r="C16" s="28" t="str">
        <f>"Story Points ("&amp;SUM(C17:C98)&amp;")"</f>
        <v>Story Points (24)</v>
      </c>
      <c r="D16" s="6" t="s">
        <v>26</v>
      </c>
      <c r="H16" s="6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</row>
    <row r="17" ht="21.0" customHeight="1">
      <c r="A17" s="30" t="s">
        <v>27</v>
      </c>
      <c r="B17" s="31" t="s">
        <v>28</v>
      </c>
      <c r="C17" s="32">
        <v>3.0</v>
      </c>
      <c r="D17" s="33" t="s">
        <v>29</v>
      </c>
      <c r="E17" s="34"/>
      <c r="F17" s="34"/>
      <c r="G17" s="35"/>
      <c r="H17" s="36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ht="21.0" customHeight="1">
      <c r="A18" s="31" t="s">
        <v>30</v>
      </c>
      <c r="B18" s="31" t="s">
        <v>28</v>
      </c>
      <c r="C18" s="32">
        <v>3.0</v>
      </c>
      <c r="D18" s="33" t="s">
        <v>31</v>
      </c>
      <c r="E18" s="34"/>
      <c r="F18" s="34"/>
      <c r="G18" s="35"/>
      <c r="H18" s="37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ht="21.0" customHeight="1">
      <c r="A19" s="30" t="s">
        <v>32</v>
      </c>
      <c r="B19" s="31" t="s">
        <v>28</v>
      </c>
      <c r="C19" s="32">
        <v>3.0</v>
      </c>
      <c r="D19" s="33" t="s">
        <v>33</v>
      </c>
      <c r="E19" s="34"/>
      <c r="F19" s="34"/>
      <c r="G19" s="35"/>
      <c r="H19" s="37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ht="21.0" customHeight="1">
      <c r="A20" s="31" t="s">
        <v>34</v>
      </c>
      <c r="B20" s="31" t="s">
        <v>28</v>
      </c>
      <c r="C20" s="32">
        <v>3.0</v>
      </c>
      <c r="D20" s="33" t="s">
        <v>35</v>
      </c>
      <c r="E20" s="34"/>
      <c r="F20" s="34"/>
      <c r="G20" s="35"/>
      <c r="H20" s="37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ht="21.0" customHeight="1">
      <c r="A21" s="30" t="s">
        <v>36</v>
      </c>
      <c r="B21" s="31" t="s">
        <v>28</v>
      </c>
      <c r="C21" s="32">
        <v>3.0</v>
      </c>
      <c r="D21" s="33" t="s">
        <v>37</v>
      </c>
      <c r="E21" s="34"/>
      <c r="F21" s="34"/>
      <c r="G21" s="35"/>
      <c r="H21" s="37"/>
      <c r="I21" s="38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ht="21.0" customHeight="1">
      <c r="A22" s="39" t="s">
        <v>38</v>
      </c>
      <c r="B22" s="31" t="s">
        <v>28</v>
      </c>
      <c r="C22" s="32">
        <v>3.0</v>
      </c>
      <c r="D22" s="33" t="s">
        <v>39</v>
      </c>
      <c r="E22" s="34"/>
      <c r="F22" s="34"/>
      <c r="G22" s="35"/>
      <c r="H22" s="36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ht="21.0" customHeight="1">
      <c r="A23" s="39" t="s">
        <v>40</v>
      </c>
      <c r="B23" s="31" t="s">
        <v>28</v>
      </c>
      <c r="C23" s="32">
        <v>3.0</v>
      </c>
      <c r="D23" s="33" t="s">
        <v>41</v>
      </c>
      <c r="E23" s="34"/>
      <c r="F23" s="34"/>
      <c r="G23" s="35"/>
      <c r="H23" s="36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ht="21.0" customHeight="1">
      <c r="A24" s="39" t="s">
        <v>42</v>
      </c>
      <c r="B24" s="31" t="s">
        <v>28</v>
      </c>
      <c r="C24" s="32">
        <v>3.0</v>
      </c>
      <c r="D24" s="33" t="s">
        <v>43</v>
      </c>
      <c r="E24" s="34"/>
      <c r="F24" s="34"/>
      <c r="G24" s="35"/>
      <c r="H24" s="36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ht="21.0" customHeight="1">
      <c r="A25" s="39"/>
      <c r="B25" s="40"/>
      <c r="C25" s="32"/>
      <c r="D25" s="41"/>
      <c r="E25" s="34"/>
      <c r="F25" s="34"/>
      <c r="G25" s="35"/>
      <c r="H25" s="36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ht="21.0" customHeight="1">
      <c r="A26" s="39"/>
      <c r="B26" s="31"/>
      <c r="C26" s="32"/>
      <c r="D26" s="41"/>
      <c r="E26" s="34"/>
      <c r="F26" s="34"/>
      <c r="G26" s="35"/>
      <c r="H26" s="36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ht="21.0" customHeight="1">
      <c r="A27" s="39"/>
      <c r="B27" s="31"/>
      <c r="C27" s="32"/>
      <c r="D27" s="42"/>
      <c r="E27" s="34"/>
      <c r="F27" s="34"/>
      <c r="G27" s="35"/>
      <c r="H27" s="43"/>
      <c r="I27" s="43"/>
      <c r="K27" s="44"/>
      <c r="L27" s="5"/>
      <c r="M27" s="5"/>
      <c r="N27" s="5"/>
      <c r="O27" s="5"/>
      <c r="P27" s="5"/>
      <c r="Q27" s="5"/>
      <c r="R27" s="5"/>
      <c r="S27" s="5"/>
    </row>
    <row r="28" ht="21.0" customHeight="1">
      <c r="A28" s="39"/>
      <c r="B28" s="31"/>
      <c r="C28" s="32"/>
      <c r="D28" s="45"/>
      <c r="H28" s="43"/>
      <c r="I28" s="43"/>
      <c r="K28" s="46"/>
      <c r="L28" s="5"/>
      <c r="M28" s="5"/>
      <c r="N28" s="5"/>
      <c r="O28" s="5"/>
      <c r="P28" s="5"/>
      <c r="Q28" s="5"/>
      <c r="R28" s="5"/>
      <c r="S28" s="5"/>
    </row>
    <row r="29" ht="21.0" customHeight="1">
      <c r="A29" s="39"/>
      <c r="B29" s="31"/>
      <c r="C29" s="32"/>
      <c r="D29" s="45"/>
      <c r="H29" s="43"/>
      <c r="I29" s="43"/>
      <c r="K29" s="46"/>
      <c r="L29" s="5"/>
      <c r="M29" s="5"/>
      <c r="N29" s="5"/>
      <c r="O29" s="5"/>
      <c r="P29" s="5"/>
      <c r="Q29" s="5"/>
      <c r="R29" s="5"/>
      <c r="S29" s="5"/>
    </row>
    <row r="30" ht="21.0" customHeight="1">
      <c r="A30" s="39"/>
      <c r="B30" s="31"/>
      <c r="C30" s="32"/>
      <c r="D30" s="45"/>
      <c r="H30" s="43"/>
      <c r="I30" s="43"/>
      <c r="K30" s="47"/>
      <c r="L30" s="5"/>
      <c r="M30" s="5"/>
      <c r="N30" s="5"/>
      <c r="O30" s="5"/>
      <c r="P30" s="5"/>
      <c r="Q30" s="5"/>
      <c r="R30" s="5"/>
      <c r="S30" s="5"/>
    </row>
    <row r="31" ht="21.0" customHeight="1">
      <c r="A31" s="48"/>
      <c r="B31" s="48"/>
      <c r="C31" s="48"/>
      <c r="D31" s="49"/>
      <c r="H31" s="43"/>
      <c r="I31" s="43"/>
      <c r="K31" s="46"/>
      <c r="L31" s="5"/>
      <c r="M31" s="5"/>
      <c r="N31" s="5"/>
      <c r="O31" s="5"/>
      <c r="P31" s="5"/>
      <c r="Q31" s="5"/>
      <c r="R31" s="5"/>
      <c r="S31" s="5"/>
    </row>
    <row r="32" ht="21.0" customHeight="1">
      <c r="A32" s="48"/>
      <c r="B32" s="48"/>
      <c r="C32" s="48"/>
      <c r="D32" s="49"/>
      <c r="H32" s="43"/>
      <c r="I32" s="43"/>
      <c r="K32" s="46"/>
      <c r="L32" s="5"/>
      <c r="M32" s="5"/>
      <c r="N32" s="5"/>
      <c r="O32" s="5"/>
      <c r="P32" s="5"/>
      <c r="Q32" s="5"/>
      <c r="R32" s="5"/>
      <c r="S32" s="5"/>
    </row>
    <row r="33" ht="21.0" customHeight="1">
      <c r="A33" s="48"/>
      <c r="B33" s="48"/>
      <c r="C33" s="48"/>
      <c r="D33" s="49"/>
      <c r="H33" s="43"/>
      <c r="I33" s="43"/>
      <c r="K33" s="46"/>
      <c r="L33" s="5"/>
      <c r="M33" s="5"/>
      <c r="N33" s="5"/>
      <c r="O33" s="5"/>
      <c r="P33" s="5"/>
      <c r="Q33" s="5"/>
      <c r="R33" s="5"/>
      <c r="S33" s="5"/>
    </row>
    <row r="34" ht="21.0" customHeight="1">
      <c r="A34" s="48"/>
      <c r="B34" s="48"/>
      <c r="C34" s="48"/>
      <c r="D34" s="49"/>
      <c r="H34" s="43"/>
      <c r="I34" s="43"/>
      <c r="K34" s="46"/>
      <c r="L34" s="5"/>
      <c r="M34" s="5"/>
      <c r="N34" s="5"/>
      <c r="O34" s="5"/>
      <c r="P34" s="5"/>
      <c r="Q34" s="5"/>
      <c r="R34" s="5"/>
      <c r="S34" s="5"/>
    </row>
    <row r="35" ht="21.0" customHeight="1">
      <c r="A35" s="50"/>
      <c r="B35" s="51"/>
      <c r="C35" s="51"/>
      <c r="D35" s="51"/>
      <c r="E35" s="5"/>
      <c r="F35" s="5"/>
      <c r="G35" s="5"/>
      <c r="H35" s="4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ht="21.0" customHeight="1">
      <c r="A36" s="52"/>
      <c r="B36" s="51"/>
      <c r="C36" s="51"/>
      <c r="D36" s="51"/>
      <c r="E36" s="5"/>
      <c r="F36" s="5"/>
      <c r="G36" s="5"/>
      <c r="H36" s="4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ht="21.0" customHeight="1">
      <c r="A37" s="51"/>
      <c r="B37" s="51"/>
      <c r="C37" s="51"/>
      <c r="D37" s="51"/>
      <c r="E37" s="5"/>
      <c r="F37" s="5"/>
      <c r="G37" s="5"/>
      <c r="H37" s="4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ht="15.75" customHeight="1">
      <c r="A38" s="51"/>
      <c r="B38" s="51"/>
      <c r="C38" s="51"/>
      <c r="D38" s="51"/>
      <c r="E38" s="5"/>
      <c r="F38" s="5"/>
      <c r="G38" s="5"/>
      <c r="H38" s="4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ht="15.75" customHeight="1">
      <c r="A39" s="51"/>
      <c r="B39" s="51"/>
      <c r="C39" s="51"/>
      <c r="D39" s="51"/>
      <c r="E39" s="5"/>
      <c r="F39" s="5"/>
      <c r="G39" s="5"/>
      <c r="H39" s="4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ht="15.75" customHeight="1">
      <c r="A40" s="51"/>
      <c r="B40" s="51"/>
      <c r="C40" s="51"/>
      <c r="D40" s="51"/>
      <c r="E40" s="5"/>
      <c r="F40" s="5"/>
      <c r="G40" s="5"/>
      <c r="H40" s="4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ht="15.75" customHeight="1">
      <c r="A41" s="51"/>
      <c r="B41" s="51"/>
      <c r="C41" s="51"/>
      <c r="D41" s="51"/>
      <c r="E41" s="5"/>
      <c r="F41" s="5"/>
      <c r="G41" s="5"/>
      <c r="H41" s="4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ht="15.75" customHeight="1">
      <c r="A42" s="53"/>
      <c r="B42" s="53"/>
      <c r="C42" s="53"/>
      <c r="D42" s="53"/>
      <c r="E42" s="5"/>
      <c r="F42" s="5"/>
      <c r="G42" s="5"/>
      <c r="H42" s="4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ht="15.75" customHeight="1">
      <c r="A43" s="53"/>
      <c r="B43" s="53"/>
      <c r="C43" s="53"/>
      <c r="D43" s="53"/>
      <c r="E43" s="5"/>
      <c r="F43" s="5"/>
      <c r="G43" s="5"/>
      <c r="H43" s="4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ht="15.75" customHeight="1">
      <c r="A44" s="53"/>
      <c r="B44" s="53"/>
      <c r="C44" s="53"/>
      <c r="D44" s="53"/>
      <c r="E44" s="5"/>
      <c r="F44" s="5"/>
      <c r="G44" s="5"/>
      <c r="H44" s="4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ht="15.75" customHeight="1">
      <c r="A45" s="53"/>
      <c r="B45" s="53"/>
      <c r="C45" s="53"/>
      <c r="D45" s="53"/>
      <c r="E45" s="5"/>
      <c r="F45" s="5"/>
      <c r="G45" s="5"/>
      <c r="H45" s="4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ht="15.75" customHeight="1">
      <c r="A46" s="53"/>
      <c r="B46" s="53"/>
      <c r="C46" s="53"/>
      <c r="D46" s="53"/>
      <c r="E46" s="5"/>
      <c r="F46" s="5"/>
      <c r="G46" s="5"/>
      <c r="H46" s="4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ht="15.75" customHeight="1">
      <c r="A47" s="54"/>
      <c r="B47" s="54"/>
      <c r="C47" s="54"/>
      <c r="D47" s="55"/>
      <c r="E47" s="5"/>
      <c r="F47" s="5"/>
      <c r="G47" s="5"/>
      <c r="H47" s="4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ht="15.75" customHeight="1">
      <c r="A48" s="54"/>
      <c r="B48" s="54"/>
      <c r="C48" s="54"/>
      <c r="D48" s="55"/>
      <c r="E48" s="5"/>
      <c r="F48" s="5"/>
      <c r="G48" s="5"/>
      <c r="H48" s="4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ht="15.75" customHeight="1">
      <c r="A49" s="54"/>
      <c r="B49" s="54"/>
      <c r="C49" s="54"/>
      <c r="D49" s="55"/>
      <c r="E49" s="5"/>
      <c r="F49" s="5"/>
      <c r="G49" s="5"/>
      <c r="H49" s="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ht="15.75" customHeight="1">
      <c r="A50" s="54"/>
      <c r="B50" s="54"/>
      <c r="C50" s="54"/>
      <c r="D50" s="55"/>
      <c r="E50" s="5"/>
      <c r="F50" s="5"/>
      <c r="G50" s="5"/>
      <c r="H50" s="4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ht="15.75" customHeight="1">
      <c r="A51" s="54"/>
      <c r="B51" s="54"/>
      <c r="C51" s="54"/>
      <c r="D51" s="55"/>
      <c r="E51" s="5"/>
      <c r="F51" s="5"/>
      <c r="G51" s="5"/>
      <c r="H51" s="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ht="15.75" customHeight="1">
      <c r="A52" s="54"/>
      <c r="B52" s="54"/>
      <c r="C52" s="54"/>
      <c r="D52" s="55"/>
      <c r="E52" s="5"/>
      <c r="F52" s="5"/>
      <c r="G52" s="5"/>
      <c r="H52" s="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ht="15.75" customHeight="1">
      <c r="A53" s="54"/>
      <c r="B53" s="54"/>
      <c r="C53" s="54"/>
      <c r="D53" s="55"/>
      <c r="E53" s="5"/>
      <c r="F53" s="5"/>
      <c r="G53" s="5"/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ht="15.75" customHeight="1">
      <c r="A54" s="54"/>
      <c r="B54" s="54"/>
      <c r="C54" s="54"/>
      <c r="D54" s="55"/>
      <c r="E54" s="5"/>
      <c r="F54" s="5"/>
      <c r="G54" s="5"/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ht="15.75" customHeight="1">
      <c r="A55" s="54"/>
      <c r="B55" s="54"/>
      <c r="C55" s="54"/>
      <c r="D55" s="55"/>
      <c r="E55" s="5"/>
      <c r="F55" s="5"/>
      <c r="G55" s="5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ht="15.75" customHeight="1">
      <c r="A56" s="54"/>
      <c r="B56" s="54"/>
      <c r="C56" s="54"/>
      <c r="D56" s="55"/>
      <c r="E56" s="5"/>
      <c r="F56" s="5"/>
      <c r="G56" s="5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ht="15.75" customHeight="1">
      <c r="A57" s="54"/>
      <c r="B57" s="54"/>
      <c r="C57" s="54"/>
      <c r="D57" s="55"/>
      <c r="E57" s="5"/>
      <c r="F57" s="5"/>
      <c r="G57" s="5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ht="15.75" customHeight="1">
      <c r="A58" s="54"/>
      <c r="B58" s="54"/>
      <c r="C58" s="54"/>
      <c r="D58" s="55"/>
      <c r="E58" s="5"/>
      <c r="F58" s="5"/>
      <c r="G58" s="5"/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ht="15.75" customHeight="1">
      <c r="A59" s="54"/>
      <c r="B59" s="54"/>
      <c r="C59" s="54"/>
      <c r="D59" s="55"/>
      <c r="E59" s="5"/>
      <c r="F59" s="5"/>
      <c r="G59" s="5"/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ht="15.75" customHeight="1">
      <c r="A60" s="54"/>
      <c r="B60" s="54"/>
      <c r="C60" s="54"/>
      <c r="D60" s="55"/>
      <c r="E60" s="5"/>
      <c r="F60" s="5"/>
      <c r="G60" s="5"/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ht="15.75" customHeight="1">
      <c r="A61" s="54"/>
      <c r="B61" s="54"/>
      <c r="C61" s="54"/>
      <c r="D61" s="55"/>
      <c r="E61" s="5"/>
      <c r="F61" s="5"/>
      <c r="G61" s="5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ht="15.75" customHeight="1">
      <c r="A62" s="54"/>
      <c r="B62" s="54"/>
      <c r="C62" s="54"/>
      <c r="D62" s="55"/>
      <c r="E62" s="5"/>
      <c r="F62" s="5"/>
      <c r="G62" s="5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ht="15.75" customHeight="1">
      <c r="A63" s="54"/>
      <c r="B63" s="54"/>
      <c r="C63" s="54"/>
      <c r="D63" s="55"/>
      <c r="E63" s="5"/>
      <c r="F63" s="5"/>
      <c r="G63" s="5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 ht="15.75" customHeight="1">
      <c r="A64" s="54"/>
      <c r="B64" s="54"/>
      <c r="C64" s="54"/>
      <c r="D64" s="55"/>
      <c r="E64" s="5"/>
      <c r="F64" s="5"/>
      <c r="G64" s="5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ht="15.75" customHeight="1">
      <c r="A65" s="54"/>
      <c r="B65" s="54"/>
      <c r="C65" s="54"/>
      <c r="D65" s="55"/>
      <c r="E65" s="5"/>
      <c r="F65" s="5"/>
      <c r="G65" s="5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 ht="15.75" customHeight="1">
      <c r="A66" s="54"/>
      <c r="B66" s="54"/>
      <c r="C66" s="54"/>
      <c r="D66" s="55"/>
      <c r="E66" s="5"/>
      <c r="F66" s="5"/>
      <c r="G66" s="5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 ht="15.75" customHeight="1">
      <c r="A67" s="54"/>
      <c r="B67" s="54"/>
      <c r="C67" s="54"/>
      <c r="D67" s="55"/>
      <c r="E67" s="5"/>
      <c r="F67" s="5"/>
      <c r="G67" s="5"/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 ht="15.75" customHeight="1">
      <c r="A68" s="54"/>
      <c r="B68" s="54"/>
      <c r="C68" s="54"/>
      <c r="D68" s="55"/>
      <c r="E68" s="5"/>
      <c r="F68" s="5"/>
      <c r="G68" s="5"/>
      <c r="H68" s="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 ht="15.75" customHeight="1">
      <c r="A69" s="54"/>
      <c r="B69" s="54"/>
      <c r="C69" s="54"/>
      <c r="D69" s="55"/>
      <c r="E69" s="5"/>
      <c r="F69" s="5"/>
      <c r="G69" s="5"/>
      <c r="H69" s="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ht="15.75" customHeight="1">
      <c r="A70" s="54"/>
      <c r="B70" s="54"/>
      <c r="C70" s="54"/>
      <c r="D70" s="55"/>
      <c r="E70" s="5"/>
      <c r="F70" s="5"/>
      <c r="G70" s="5"/>
      <c r="H70" s="4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 ht="15.75" customHeight="1">
      <c r="A71" s="54"/>
      <c r="B71" s="54"/>
      <c r="C71" s="54"/>
      <c r="D71" s="55"/>
      <c r="E71" s="5"/>
      <c r="F71" s="5"/>
      <c r="G71" s="5"/>
      <c r="H71" s="4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 ht="15.75" customHeight="1">
      <c r="A72" s="54"/>
      <c r="B72" s="54"/>
      <c r="C72" s="54"/>
      <c r="D72" s="55"/>
      <c r="E72" s="5"/>
      <c r="F72" s="5"/>
      <c r="G72" s="5"/>
      <c r="H72" s="4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 ht="15.75" customHeight="1">
      <c r="A73" s="54"/>
      <c r="B73" s="54"/>
      <c r="C73" s="54"/>
      <c r="D73" s="55"/>
      <c r="E73" s="5"/>
      <c r="F73" s="5"/>
      <c r="G73" s="5"/>
      <c r="H73" s="4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 ht="15.75" customHeight="1">
      <c r="A74" s="54"/>
      <c r="B74" s="54"/>
      <c r="C74" s="54"/>
      <c r="D74" s="55"/>
      <c r="E74" s="5"/>
      <c r="F74" s="5"/>
      <c r="G74" s="5"/>
      <c r="H74" s="4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ht="15.75" customHeight="1">
      <c r="A75" s="54"/>
      <c r="B75" s="54"/>
      <c r="C75" s="54"/>
      <c r="D75" s="55"/>
      <c r="E75" s="5"/>
      <c r="F75" s="5"/>
      <c r="G75" s="5"/>
      <c r="H75" s="4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 ht="15.75" customHeight="1">
      <c r="A76" s="54"/>
      <c r="B76" s="54"/>
      <c r="C76" s="54"/>
      <c r="D76" s="55"/>
      <c r="E76" s="5"/>
      <c r="F76" s="5"/>
      <c r="G76" s="5"/>
      <c r="H76" s="4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ht="15.75" customHeight="1">
      <c r="A77" s="54"/>
      <c r="B77" s="54"/>
      <c r="C77" s="54"/>
      <c r="D77" s="55"/>
      <c r="E77" s="5"/>
      <c r="F77" s="5"/>
      <c r="G77" s="5"/>
      <c r="H77" s="4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ht="15.75" customHeight="1">
      <c r="A78" s="54"/>
      <c r="B78" s="54"/>
      <c r="C78" s="54"/>
      <c r="D78" s="55"/>
      <c r="E78" s="5"/>
      <c r="F78" s="5"/>
      <c r="G78" s="5"/>
      <c r="H78" s="4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ht="15.75" customHeight="1">
      <c r="A79" s="54"/>
      <c r="B79" s="54"/>
      <c r="C79" s="54"/>
      <c r="D79" s="55"/>
      <c r="E79" s="5"/>
      <c r="F79" s="5"/>
      <c r="G79" s="5"/>
      <c r="H79" s="4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ht="15.75" customHeight="1">
      <c r="A80" s="54"/>
      <c r="B80" s="54"/>
      <c r="C80" s="54"/>
      <c r="D80" s="55"/>
      <c r="E80" s="5"/>
      <c r="F80" s="5"/>
      <c r="G80" s="5"/>
      <c r="H80" s="4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ht="15.75" customHeight="1">
      <c r="A81" s="54"/>
      <c r="B81" s="54"/>
      <c r="C81" s="54"/>
      <c r="D81" s="55"/>
      <c r="E81" s="5"/>
      <c r="F81" s="5"/>
      <c r="G81" s="5"/>
      <c r="H81" s="4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ht="15.75" customHeight="1">
      <c r="A82" s="54"/>
      <c r="B82" s="54"/>
      <c r="C82" s="54"/>
      <c r="D82" s="55"/>
      <c r="E82" s="5"/>
      <c r="F82" s="5"/>
      <c r="G82" s="5"/>
      <c r="H82" s="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ht="15.75" customHeight="1">
      <c r="A83" s="54"/>
      <c r="B83" s="54"/>
      <c r="C83" s="54"/>
      <c r="D83" s="55"/>
      <c r="E83" s="5"/>
      <c r="F83" s="5"/>
      <c r="G83" s="5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 ht="15.75" customHeight="1">
      <c r="A84" s="54"/>
      <c r="B84" s="54"/>
      <c r="C84" s="54"/>
      <c r="D84" s="55"/>
      <c r="E84" s="5"/>
      <c r="F84" s="5"/>
      <c r="G84" s="5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ht="15.75" customHeight="1">
      <c r="A85" s="54"/>
      <c r="B85" s="54"/>
      <c r="C85" s="54"/>
      <c r="D85" s="55"/>
      <c r="E85" s="5"/>
      <c r="F85" s="5"/>
      <c r="G85" s="5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ht="15.75" customHeight="1">
      <c r="A86" s="54"/>
      <c r="B86" s="54"/>
      <c r="C86" s="54"/>
      <c r="D86" s="55"/>
      <c r="E86" s="5"/>
      <c r="F86" s="5"/>
      <c r="G86" s="5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ht="15.75" customHeight="1">
      <c r="A87" s="54"/>
      <c r="B87" s="54"/>
      <c r="C87" s="54"/>
      <c r="D87" s="55"/>
      <c r="E87" s="5"/>
      <c r="F87" s="5"/>
      <c r="G87" s="5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ht="15.75" customHeight="1">
      <c r="A88" s="54"/>
      <c r="B88" s="54"/>
      <c r="C88" s="54"/>
      <c r="D88" s="55"/>
      <c r="E88" s="5"/>
      <c r="F88" s="5"/>
      <c r="G88" s="5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ht="15.75" customHeight="1">
      <c r="A89" s="54"/>
      <c r="B89" s="54"/>
      <c r="C89" s="54"/>
      <c r="D89" s="55"/>
      <c r="E89" s="5"/>
      <c r="F89" s="5"/>
      <c r="G89" s="5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ht="15.75" customHeight="1">
      <c r="A90" s="54"/>
      <c r="B90" s="54"/>
      <c r="C90" s="54"/>
      <c r="D90" s="55"/>
      <c r="E90" s="5"/>
      <c r="F90" s="5"/>
      <c r="G90" s="5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ht="15.75" customHeight="1">
      <c r="A91" s="54"/>
      <c r="B91" s="54"/>
      <c r="C91" s="54"/>
      <c r="D91" s="55"/>
      <c r="E91" s="5"/>
      <c r="F91" s="5"/>
      <c r="G91" s="5"/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ht="15.75" customHeight="1">
      <c r="A92" s="54"/>
      <c r="B92" s="54"/>
      <c r="C92" s="54"/>
      <c r="D92" s="55"/>
      <c r="E92" s="5"/>
      <c r="F92" s="5"/>
      <c r="G92" s="5"/>
      <c r="H92" s="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ht="15.75" customHeight="1">
      <c r="A93" s="54"/>
      <c r="B93" s="54"/>
      <c r="C93" s="54"/>
      <c r="D93" s="55"/>
      <c r="E93" s="5"/>
      <c r="F93" s="5"/>
      <c r="G93" s="5"/>
      <c r="H93" s="4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ht="15.75" customHeight="1">
      <c r="A94" s="54"/>
      <c r="B94" s="54"/>
      <c r="C94" s="54"/>
      <c r="D94" s="55"/>
      <c r="E94" s="5"/>
      <c r="F94" s="5"/>
      <c r="G94" s="5"/>
      <c r="H94" s="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ht="15.75" customHeight="1">
      <c r="A95" s="54"/>
      <c r="B95" s="54"/>
      <c r="C95" s="54"/>
      <c r="D95" s="55"/>
      <c r="E95" s="5"/>
      <c r="F95" s="5"/>
      <c r="G95" s="5"/>
      <c r="H95" s="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 ht="15.75" customHeight="1">
      <c r="A96" s="54"/>
      <c r="B96" s="54"/>
      <c r="C96" s="54"/>
      <c r="D96" s="55"/>
      <c r="E96" s="5"/>
      <c r="F96" s="5"/>
      <c r="G96" s="5"/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ht="15.75" customHeight="1">
      <c r="A97" s="54"/>
      <c r="B97" s="54"/>
      <c r="C97" s="54"/>
      <c r="D97" s="55"/>
      <c r="E97" s="5"/>
      <c r="F97" s="5"/>
      <c r="G97" s="5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ht="15.75" customHeight="1">
      <c r="A98" s="54"/>
      <c r="B98" s="54"/>
      <c r="C98" s="54"/>
      <c r="D98" s="55"/>
      <c r="E98" s="5"/>
      <c r="F98" s="5"/>
      <c r="G98" s="5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ht="15.75" customHeight="1">
      <c r="A99" s="54"/>
      <c r="B99" s="54"/>
      <c r="C99" s="54"/>
      <c r="D99" s="55"/>
      <c r="E99" s="5"/>
      <c r="F99" s="5"/>
      <c r="G99" s="5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ht="15.75" customHeight="1">
      <c r="A100" s="54"/>
      <c r="B100" s="54"/>
      <c r="C100" s="54"/>
      <c r="D100" s="55"/>
      <c r="E100" s="5"/>
      <c r="F100" s="5"/>
      <c r="G100" s="5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ht="15.75" customHeight="1">
      <c r="A101" s="54"/>
      <c r="B101" s="54"/>
      <c r="C101" s="54"/>
      <c r="D101" s="55"/>
      <c r="E101" s="5"/>
      <c r="F101" s="5"/>
      <c r="G101" s="5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ht="15.75" customHeight="1">
      <c r="A102" s="54"/>
      <c r="B102" s="54"/>
      <c r="C102" s="54"/>
      <c r="D102" s="55"/>
      <c r="E102" s="5"/>
      <c r="F102" s="5"/>
      <c r="G102" s="5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ht="15.75" customHeight="1">
      <c r="A103" s="54"/>
      <c r="B103" s="54"/>
      <c r="C103" s="54"/>
      <c r="D103" s="55"/>
      <c r="E103" s="5"/>
      <c r="F103" s="5"/>
      <c r="G103" s="5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ht="15.75" customHeight="1">
      <c r="A104" s="54"/>
      <c r="B104" s="54"/>
      <c r="C104" s="54"/>
      <c r="D104" s="55"/>
      <c r="E104" s="5"/>
      <c r="F104" s="5"/>
      <c r="G104" s="5"/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ht="15.75" customHeight="1">
      <c r="A105" s="54"/>
      <c r="B105" s="54"/>
      <c r="C105" s="54"/>
      <c r="D105" s="55"/>
      <c r="E105" s="5"/>
      <c r="F105" s="5"/>
      <c r="G105" s="5"/>
      <c r="H105" s="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ht="15.75" customHeight="1">
      <c r="A106" s="54"/>
      <c r="B106" s="54"/>
      <c r="C106" s="54"/>
      <c r="D106" s="55"/>
      <c r="E106" s="5"/>
      <c r="F106" s="5"/>
      <c r="G106" s="5"/>
      <c r="H106" s="4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ht="15.75" customHeight="1">
      <c r="A107" s="54"/>
      <c r="B107" s="54"/>
      <c r="C107" s="54"/>
      <c r="D107" s="55"/>
      <c r="E107" s="5"/>
      <c r="F107" s="5"/>
      <c r="G107" s="5"/>
      <c r="H107" s="4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ht="15.75" customHeight="1">
      <c r="A108" s="54"/>
      <c r="B108" s="54"/>
      <c r="C108" s="54"/>
      <c r="D108" s="55"/>
      <c r="E108" s="5"/>
      <c r="F108" s="5"/>
      <c r="G108" s="5"/>
      <c r="H108" s="4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ht="15.75" customHeight="1">
      <c r="A109" s="54"/>
      <c r="B109" s="54"/>
      <c r="C109" s="54"/>
      <c r="D109" s="55"/>
      <c r="E109" s="5"/>
      <c r="F109" s="5"/>
      <c r="G109" s="5"/>
      <c r="H109" s="4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ht="15.75" customHeight="1">
      <c r="A110" s="54"/>
      <c r="B110" s="54"/>
      <c r="C110" s="54"/>
      <c r="D110" s="55"/>
      <c r="E110" s="5"/>
      <c r="F110" s="5"/>
      <c r="G110" s="5"/>
      <c r="H110" s="4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ht="15.75" customHeight="1">
      <c r="A111" s="54"/>
      <c r="B111" s="54"/>
      <c r="C111" s="54"/>
      <c r="D111" s="55"/>
      <c r="E111" s="5"/>
      <c r="F111" s="5"/>
      <c r="G111" s="5"/>
      <c r="H111" s="4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ht="15.75" customHeight="1">
      <c r="A112" s="54"/>
      <c r="B112" s="54"/>
      <c r="C112" s="54"/>
      <c r="D112" s="55"/>
      <c r="E112" s="5"/>
      <c r="F112" s="5"/>
      <c r="G112" s="5"/>
      <c r="H112" s="4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ht="15.75" customHeight="1">
      <c r="A113" s="54"/>
      <c r="B113" s="54"/>
      <c r="C113" s="54"/>
      <c r="D113" s="55"/>
      <c r="E113" s="5"/>
      <c r="F113" s="5"/>
      <c r="G113" s="5"/>
      <c r="H113" s="4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ht="15.75" customHeight="1">
      <c r="A114" s="54"/>
      <c r="B114" s="54"/>
      <c r="C114" s="54"/>
      <c r="D114" s="55"/>
      <c r="E114" s="5"/>
      <c r="F114" s="5"/>
      <c r="G114" s="5"/>
      <c r="H114" s="4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ht="15.75" customHeight="1">
      <c r="A115" s="54"/>
      <c r="B115" s="54"/>
      <c r="C115" s="54"/>
      <c r="D115" s="55"/>
      <c r="E115" s="5"/>
      <c r="F115" s="5"/>
      <c r="G115" s="5"/>
      <c r="H115" s="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ht="15.75" customHeight="1">
      <c r="A116" s="54"/>
      <c r="B116" s="54"/>
      <c r="C116" s="54"/>
      <c r="D116" s="55"/>
      <c r="E116" s="5"/>
      <c r="F116" s="5"/>
      <c r="G116" s="5"/>
      <c r="H116" s="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ht="15.75" customHeight="1">
      <c r="A117" s="54"/>
      <c r="B117" s="54"/>
      <c r="C117" s="54"/>
      <c r="D117" s="55"/>
      <c r="E117" s="5"/>
      <c r="F117" s="5"/>
      <c r="G117" s="5"/>
      <c r="H117" s="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ht="15.75" customHeight="1">
      <c r="A118" s="54"/>
      <c r="B118" s="54"/>
      <c r="C118" s="54"/>
      <c r="D118" s="55"/>
      <c r="E118" s="5"/>
      <c r="F118" s="5"/>
      <c r="G118" s="5"/>
      <c r="H118" s="4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ht="15.75" customHeight="1">
      <c r="A119" s="54"/>
      <c r="B119" s="54"/>
      <c r="C119" s="54"/>
      <c r="D119" s="55"/>
      <c r="E119" s="5"/>
      <c r="F119" s="5"/>
      <c r="G119" s="5"/>
      <c r="H119" s="4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ht="15.75" customHeight="1">
      <c r="A120" s="54"/>
      <c r="B120" s="54"/>
      <c r="C120" s="54"/>
      <c r="D120" s="55"/>
      <c r="E120" s="5"/>
      <c r="F120" s="5"/>
      <c r="G120" s="5"/>
      <c r="H120" s="4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ht="15.75" customHeight="1">
      <c r="A121" s="54"/>
      <c r="B121" s="54"/>
      <c r="C121" s="54"/>
      <c r="D121" s="55"/>
      <c r="E121" s="5"/>
      <c r="F121" s="5"/>
      <c r="G121" s="5"/>
      <c r="H121" s="4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ht="15.75" customHeight="1">
      <c r="A122" s="54"/>
      <c r="B122" s="54"/>
      <c r="C122" s="54"/>
      <c r="D122" s="55"/>
      <c r="E122" s="5"/>
      <c r="F122" s="5"/>
      <c r="G122" s="5"/>
      <c r="H122" s="4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ht="15.75" customHeight="1">
      <c r="A123" s="54"/>
      <c r="B123" s="54"/>
      <c r="C123" s="54"/>
      <c r="D123" s="55"/>
      <c r="E123" s="5"/>
      <c r="F123" s="5"/>
      <c r="G123" s="5"/>
      <c r="H123" s="4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ht="15.75" customHeight="1">
      <c r="A124" s="54"/>
      <c r="B124" s="54"/>
      <c r="C124" s="54"/>
      <c r="D124" s="55"/>
      <c r="E124" s="5"/>
      <c r="F124" s="5"/>
      <c r="G124" s="5"/>
      <c r="H124" s="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 ht="15.75" customHeight="1">
      <c r="A125" s="54"/>
      <c r="B125" s="54"/>
      <c r="C125" s="54"/>
      <c r="D125" s="55"/>
      <c r="E125" s="5"/>
      <c r="F125" s="5"/>
      <c r="G125" s="5"/>
      <c r="H125" s="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ht="15.75" customHeight="1">
      <c r="A126" s="54"/>
      <c r="B126" s="54"/>
      <c r="C126" s="54"/>
      <c r="D126" s="55"/>
      <c r="E126" s="5"/>
      <c r="F126" s="5"/>
      <c r="G126" s="5"/>
      <c r="H126" s="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ht="15.75" customHeight="1">
      <c r="A127" s="54"/>
      <c r="B127" s="54"/>
      <c r="C127" s="54"/>
      <c r="D127" s="55"/>
      <c r="E127" s="5"/>
      <c r="F127" s="5"/>
      <c r="G127" s="5"/>
      <c r="H127" s="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ht="15.75" customHeight="1">
      <c r="A128" s="54"/>
      <c r="B128" s="54"/>
      <c r="C128" s="54"/>
      <c r="D128" s="55"/>
      <c r="E128" s="5"/>
      <c r="F128" s="5"/>
      <c r="G128" s="5"/>
      <c r="H128" s="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ht="15.75" customHeight="1">
      <c r="A129" s="54"/>
      <c r="B129" s="54"/>
      <c r="C129" s="54"/>
      <c r="D129" s="55"/>
      <c r="E129" s="5"/>
      <c r="F129" s="5"/>
      <c r="G129" s="5"/>
      <c r="H129" s="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ht="15.75" customHeight="1">
      <c r="A130" s="54"/>
      <c r="B130" s="54"/>
      <c r="C130" s="54"/>
      <c r="D130" s="55"/>
      <c r="E130" s="5"/>
      <c r="F130" s="5"/>
      <c r="G130" s="5"/>
      <c r="H130" s="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ht="15.75" customHeight="1">
      <c r="A131" s="54"/>
      <c r="B131" s="54"/>
      <c r="C131" s="54"/>
      <c r="D131" s="55"/>
      <c r="E131" s="5"/>
      <c r="F131" s="5"/>
      <c r="G131" s="5"/>
      <c r="H131" s="4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ht="15.75" customHeight="1">
      <c r="A132" s="54"/>
      <c r="B132" s="54"/>
      <c r="C132" s="54"/>
      <c r="D132" s="55"/>
      <c r="E132" s="5"/>
      <c r="F132" s="5"/>
      <c r="G132" s="5"/>
      <c r="H132" s="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ht="15.75" customHeight="1">
      <c r="A133" s="54"/>
      <c r="B133" s="54"/>
      <c r="C133" s="54"/>
      <c r="D133" s="55"/>
      <c r="E133" s="5"/>
      <c r="F133" s="5"/>
      <c r="G133" s="5"/>
      <c r="H133" s="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ht="15.75" customHeight="1">
      <c r="A134" s="54"/>
      <c r="B134" s="54"/>
      <c r="C134" s="54"/>
      <c r="D134" s="55"/>
      <c r="E134" s="5"/>
      <c r="F134" s="5"/>
      <c r="G134" s="5"/>
      <c r="H134" s="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ht="15.75" customHeight="1">
      <c r="A135" s="54"/>
      <c r="B135" s="54"/>
      <c r="C135" s="54"/>
      <c r="D135" s="55"/>
      <c r="E135" s="5"/>
      <c r="F135" s="5"/>
      <c r="G135" s="5"/>
      <c r="H135" s="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 ht="15.75" customHeight="1">
      <c r="A136" s="54"/>
      <c r="B136" s="54"/>
      <c r="C136" s="54"/>
      <c r="D136" s="55"/>
      <c r="E136" s="5"/>
      <c r="F136" s="5"/>
      <c r="G136" s="5"/>
      <c r="H136" s="4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 ht="15.75" customHeight="1">
      <c r="A137" s="54"/>
      <c r="B137" s="54"/>
      <c r="C137" s="54"/>
      <c r="D137" s="55"/>
      <c r="E137" s="5"/>
      <c r="F137" s="5"/>
      <c r="G137" s="5"/>
      <c r="H137" s="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 ht="15.75" customHeight="1">
      <c r="A138" s="54"/>
      <c r="B138" s="54"/>
      <c r="C138" s="54"/>
      <c r="D138" s="55"/>
      <c r="E138" s="5"/>
      <c r="F138" s="5"/>
      <c r="G138" s="5"/>
      <c r="H138" s="4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 ht="15.75" customHeight="1">
      <c r="A139" s="54"/>
      <c r="B139" s="54"/>
      <c r="C139" s="54"/>
      <c r="D139" s="55"/>
      <c r="E139" s="5"/>
      <c r="F139" s="5"/>
      <c r="G139" s="5"/>
      <c r="H139" s="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 ht="15.75" customHeight="1">
      <c r="A140" s="54"/>
      <c r="B140" s="54"/>
      <c r="C140" s="54"/>
      <c r="D140" s="55"/>
      <c r="E140" s="5"/>
      <c r="F140" s="5"/>
      <c r="G140" s="5"/>
      <c r="H140" s="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 ht="15.75" customHeight="1">
      <c r="A141" s="54"/>
      <c r="B141" s="54"/>
      <c r="C141" s="54"/>
      <c r="D141" s="55"/>
      <c r="E141" s="5"/>
      <c r="F141" s="5"/>
      <c r="G141" s="5"/>
      <c r="H141" s="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 ht="15.75" customHeight="1">
      <c r="A142" s="54"/>
      <c r="B142" s="54"/>
      <c r="C142" s="54"/>
      <c r="D142" s="55"/>
      <c r="E142" s="5"/>
      <c r="F142" s="5"/>
      <c r="G142" s="5"/>
      <c r="H142" s="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 ht="15.75" customHeight="1">
      <c r="A143" s="54"/>
      <c r="B143" s="54"/>
      <c r="C143" s="54"/>
      <c r="D143" s="55"/>
      <c r="E143" s="5"/>
      <c r="F143" s="5"/>
      <c r="G143" s="5"/>
      <c r="H143" s="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 ht="15.75" customHeight="1">
      <c r="A144" s="54"/>
      <c r="B144" s="54"/>
      <c r="C144" s="54"/>
      <c r="D144" s="55"/>
      <c r="E144" s="5"/>
      <c r="F144" s="5"/>
      <c r="G144" s="5"/>
      <c r="H144" s="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ht="15.75" customHeight="1">
      <c r="A145" s="54"/>
      <c r="B145" s="54"/>
      <c r="C145" s="54"/>
      <c r="D145" s="55"/>
      <c r="E145" s="5"/>
      <c r="F145" s="5"/>
      <c r="G145" s="5"/>
      <c r="H145" s="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 ht="15.75" customHeight="1">
      <c r="A146" s="54"/>
      <c r="B146" s="54"/>
      <c r="C146" s="54"/>
      <c r="D146" s="55"/>
      <c r="E146" s="5"/>
      <c r="F146" s="5"/>
      <c r="G146" s="5"/>
      <c r="H146" s="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 ht="15.75" customHeight="1">
      <c r="A147" s="54"/>
      <c r="B147" s="54"/>
      <c r="C147" s="54"/>
      <c r="D147" s="55"/>
      <c r="E147" s="5"/>
      <c r="F147" s="5"/>
      <c r="G147" s="5"/>
      <c r="H147" s="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 ht="15.75" customHeight="1">
      <c r="A148" s="54"/>
      <c r="B148" s="54"/>
      <c r="C148" s="54"/>
      <c r="D148" s="55"/>
      <c r="E148" s="5"/>
      <c r="F148" s="5"/>
      <c r="G148" s="5"/>
      <c r="H148" s="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 ht="15.75" customHeight="1">
      <c r="A149" s="54"/>
      <c r="B149" s="54"/>
      <c r="C149" s="54"/>
      <c r="D149" s="55"/>
      <c r="E149" s="5"/>
      <c r="F149" s="5"/>
      <c r="G149" s="5"/>
      <c r="H149" s="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 ht="15.75" customHeight="1">
      <c r="A150" s="54"/>
      <c r="B150" s="54"/>
      <c r="C150" s="54"/>
      <c r="D150" s="55"/>
      <c r="E150" s="5"/>
      <c r="F150" s="5"/>
      <c r="G150" s="5"/>
      <c r="H150" s="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 ht="15.75" customHeight="1">
      <c r="A151" s="54"/>
      <c r="B151" s="54"/>
      <c r="C151" s="54"/>
      <c r="D151" s="55"/>
      <c r="E151" s="5"/>
      <c r="F151" s="5"/>
      <c r="G151" s="5"/>
      <c r="H151" s="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 ht="15.75" customHeight="1">
      <c r="A152" s="54"/>
      <c r="B152" s="54"/>
      <c r="C152" s="54"/>
      <c r="D152" s="55"/>
      <c r="E152" s="5"/>
      <c r="F152" s="5"/>
      <c r="G152" s="5"/>
      <c r="H152" s="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 ht="15.75" customHeight="1">
      <c r="A153" s="54"/>
      <c r="B153" s="54"/>
      <c r="C153" s="54"/>
      <c r="D153" s="55"/>
      <c r="E153" s="5"/>
      <c r="F153" s="5"/>
      <c r="G153" s="5"/>
      <c r="H153" s="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 ht="15.75" customHeight="1">
      <c r="A154" s="54"/>
      <c r="B154" s="54"/>
      <c r="C154" s="54"/>
      <c r="D154" s="55"/>
      <c r="E154" s="5"/>
      <c r="F154" s="5"/>
      <c r="G154" s="5"/>
      <c r="H154" s="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 ht="15.75" customHeight="1">
      <c r="A155" s="54"/>
      <c r="B155" s="54"/>
      <c r="C155" s="54"/>
      <c r="D155" s="55"/>
      <c r="E155" s="5"/>
      <c r="F155" s="5"/>
      <c r="G155" s="5"/>
      <c r="H155" s="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 ht="15.75" customHeight="1">
      <c r="A156" s="54"/>
      <c r="B156" s="54"/>
      <c r="C156" s="54"/>
      <c r="D156" s="55"/>
      <c r="E156" s="5"/>
      <c r="F156" s="5"/>
      <c r="G156" s="5"/>
      <c r="H156" s="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 ht="15.75" customHeight="1">
      <c r="A157" s="54"/>
      <c r="B157" s="54"/>
      <c r="C157" s="54"/>
      <c r="D157" s="55"/>
      <c r="E157" s="5"/>
      <c r="F157" s="5"/>
      <c r="G157" s="5"/>
      <c r="H157" s="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 ht="15.75" customHeight="1">
      <c r="A158" s="54"/>
      <c r="B158" s="54"/>
      <c r="C158" s="54"/>
      <c r="D158" s="55"/>
      <c r="E158" s="5"/>
      <c r="F158" s="5"/>
      <c r="G158" s="5"/>
      <c r="H158" s="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 ht="15.75" customHeight="1">
      <c r="A159" s="54"/>
      <c r="B159" s="54"/>
      <c r="C159" s="54"/>
      <c r="D159" s="55"/>
      <c r="E159" s="5"/>
      <c r="F159" s="5"/>
      <c r="G159" s="5"/>
      <c r="H159" s="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 ht="15.75" customHeight="1">
      <c r="A160" s="54"/>
      <c r="B160" s="54"/>
      <c r="C160" s="54"/>
      <c r="D160" s="55"/>
      <c r="E160" s="5"/>
      <c r="F160" s="5"/>
      <c r="G160" s="5"/>
      <c r="H160" s="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 ht="15.75" customHeight="1">
      <c r="A161" s="54"/>
      <c r="B161" s="54"/>
      <c r="C161" s="54"/>
      <c r="D161" s="55"/>
      <c r="E161" s="5"/>
      <c r="F161" s="5"/>
      <c r="G161" s="5"/>
      <c r="H161" s="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 ht="15.75" customHeight="1">
      <c r="A162" s="54"/>
      <c r="B162" s="54"/>
      <c r="C162" s="54"/>
      <c r="D162" s="55"/>
      <c r="E162" s="5"/>
      <c r="F162" s="5"/>
      <c r="G162" s="5"/>
      <c r="H162" s="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 ht="15.75" customHeight="1">
      <c r="A163" s="54"/>
      <c r="B163" s="54"/>
      <c r="C163" s="54"/>
      <c r="D163" s="55"/>
      <c r="E163" s="5"/>
      <c r="F163" s="5"/>
      <c r="G163" s="5"/>
      <c r="H163" s="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</row>
    <row r="164" ht="15.75" customHeight="1">
      <c r="A164" s="54"/>
      <c r="B164" s="54"/>
      <c r="C164" s="54"/>
      <c r="D164" s="55"/>
      <c r="E164" s="5"/>
      <c r="F164" s="5"/>
      <c r="G164" s="5"/>
      <c r="H164" s="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 ht="15.75" customHeight="1">
      <c r="A165" s="54"/>
      <c r="B165" s="54"/>
      <c r="C165" s="54"/>
      <c r="D165" s="55"/>
      <c r="E165" s="5"/>
      <c r="F165" s="5"/>
      <c r="G165" s="5"/>
      <c r="H165" s="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 ht="15.75" customHeight="1">
      <c r="A166" s="54"/>
      <c r="B166" s="54"/>
      <c r="C166" s="54"/>
      <c r="D166" s="55"/>
      <c r="E166" s="5"/>
      <c r="F166" s="5"/>
      <c r="G166" s="5"/>
      <c r="H166" s="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</row>
    <row r="167" ht="15.75" customHeight="1">
      <c r="A167" s="54"/>
      <c r="B167" s="54"/>
      <c r="C167" s="54"/>
      <c r="D167" s="55"/>
      <c r="E167" s="5"/>
      <c r="F167" s="5"/>
      <c r="G167" s="5"/>
      <c r="H167" s="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 ht="15.75" customHeight="1">
      <c r="A168" s="54"/>
      <c r="B168" s="54"/>
      <c r="C168" s="54"/>
      <c r="D168" s="55"/>
      <c r="E168" s="5"/>
      <c r="F168" s="5"/>
      <c r="G168" s="5"/>
      <c r="H168" s="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</row>
    <row r="169" ht="15.75" customHeight="1">
      <c r="A169" s="54"/>
      <c r="B169" s="54"/>
      <c r="C169" s="54"/>
      <c r="D169" s="55"/>
      <c r="E169" s="5"/>
      <c r="F169" s="5"/>
      <c r="G169" s="5"/>
      <c r="H169" s="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</row>
    <row r="170" ht="15.75" customHeight="1">
      <c r="A170" s="54"/>
      <c r="B170" s="54"/>
      <c r="C170" s="54"/>
      <c r="D170" s="55"/>
      <c r="E170" s="5"/>
      <c r="F170" s="5"/>
      <c r="G170" s="5"/>
      <c r="H170" s="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</row>
    <row r="171" ht="15.75" customHeight="1">
      <c r="A171" s="54"/>
      <c r="B171" s="54"/>
      <c r="C171" s="54"/>
      <c r="D171" s="55"/>
      <c r="E171" s="5"/>
      <c r="F171" s="5"/>
      <c r="G171" s="5"/>
      <c r="H171" s="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</row>
    <row r="172" ht="15.75" customHeight="1">
      <c r="A172" s="54"/>
      <c r="B172" s="54"/>
      <c r="C172" s="54"/>
      <c r="D172" s="55"/>
      <c r="E172" s="5"/>
      <c r="F172" s="5"/>
      <c r="G172" s="5"/>
      <c r="H172" s="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</row>
    <row r="173" ht="15.75" customHeight="1">
      <c r="A173" s="54"/>
      <c r="B173" s="54"/>
      <c r="C173" s="54"/>
      <c r="D173" s="55"/>
      <c r="E173" s="5"/>
      <c r="F173" s="5"/>
      <c r="G173" s="5"/>
      <c r="H173" s="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</row>
    <row r="174" ht="15.75" customHeight="1">
      <c r="A174" s="54"/>
      <c r="B174" s="54"/>
      <c r="C174" s="54"/>
      <c r="D174" s="55"/>
      <c r="E174" s="5"/>
      <c r="F174" s="5"/>
      <c r="G174" s="5"/>
      <c r="H174" s="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</row>
    <row r="175" ht="15.75" customHeight="1">
      <c r="A175" s="54"/>
      <c r="B175" s="54"/>
      <c r="C175" s="54"/>
      <c r="D175" s="55"/>
      <c r="E175" s="5"/>
      <c r="F175" s="5"/>
      <c r="G175" s="5"/>
      <c r="H175" s="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</row>
    <row r="176" ht="15.75" customHeight="1">
      <c r="A176" s="54"/>
      <c r="B176" s="54"/>
      <c r="C176" s="54"/>
      <c r="D176" s="55"/>
      <c r="E176" s="5"/>
      <c r="F176" s="5"/>
      <c r="G176" s="5"/>
      <c r="H176" s="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</row>
    <row r="177" ht="15.75" customHeight="1">
      <c r="A177" s="54"/>
      <c r="B177" s="54"/>
      <c r="C177" s="54"/>
      <c r="D177" s="55"/>
      <c r="E177" s="5"/>
      <c r="F177" s="5"/>
      <c r="G177" s="5"/>
      <c r="H177" s="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</row>
    <row r="178" ht="15.75" customHeight="1">
      <c r="A178" s="54"/>
      <c r="B178" s="54"/>
      <c r="C178" s="54"/>
      <c r="D178" s="55"/>
      <c r="E178" s="5"/>
      <c r="F178" s="5"/>
      <c r="G178" s="5"/>
      <c r="H178" s="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 ht="15.75" customHeight="1">
      <c r="A179" s="54"/>
      <c r="B179" s="54"/>
      <c r="C179" s="54"/>
      <c r="D179" s="55"/>
      <c r="E179" s="5"/>
      <c r="F179" s="5"/>
      <c r="G179" s="5"/>
      <c r="H179" s="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</row>
    <row r="180" ht="15.75" customHeight="1">
      <c r="A180" s="54"/>
      <c r="B180" s="54"/>
      <c r="C180" s="54"/>
      <c r="D180" s="55"/>
      <c r="E180" s="5"/>
      <c r="F180" s="5"/>
      <c r="G180" s="5"/>
      <c r="H180" s="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</row>
    <row r="181" ht="15.75" customHeight="1">
      <c r="A181" s="54"/>
      <c r="B181" s="54"/>
      <c r="C181" s="54"/>
      <c r="D181" s="55"/>
      <c r="E181" s="5"/>
      <c r="F181" s="5"/>
      <c r="G181" s="5"/>
      <c r="H181" s="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</row>
    <row r="182" ht="15.75" customHeight="1">
      <c r="A182" s="54"/>
      <c r="B182" s="54"/>
      <c r="C182" s="54"/>
      <c r="D182" s="55"/>
      <c r="E182" s="5"/>
      <c r="F182" s="5"/>
      <c r="G182" s="5"/>
      <c r="H182" s="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 ht="15.75" customHeight="1">
      <c r="A183" s="54"/>
      <c r="B183" s="54"/>
      <c r="C183" s="54"/>
      <c r="D183" s="55"/>
      <c r="E183" s="5"/>
      <c r="F183" s="5"/>
      <c r="G183" s="5"/>
      <c r="H183" s="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</row>
    <row r="184" ht="15.75" customHeight="1">
      <c r="A184" s="54"/>
      <c r="B184" s="54"/>
      <c r="C184" s="54"/>
      <c r="D184" s="55"/>
      <c r="E184" s="5"/>
      <c r="F184" s="5"/>
      <c r="G184" s="5"/>
      <c r="H184" s="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</row>
    <row r="185" ht="15.75" customHeight="1">
      <c r="A185" s="54"/>
      <c r="B185" s="54"/>
      <c r="C185" s="54"/>
      <c r="D185" s="55"/>
      <c r="E185" s="5"/>
      <c r="F185" s="5"/>
      <c r="G185" s="5"/>
      <c r="H185" s="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</row>
    <row r="186" ht="15.75" customHeight="1">
      <c r="A186" s="54"/>
      <c r="B186" s="54"/>
      <c r="C186" s="54"/>
      <c r="D186" s="55"/>
      <c r="E186" s="5"/>
      <c r="F186" s="5"/>
      <c r="G186" s="5"/>
      <c r="H186" s="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</row>
    <row r="187" ht="15.75" customHeight="1">
      <c r="A187" s="54"/>
      <c r="B187" s="54"/>
      <c r="C187" s="54"/>
      <c r="D187" s="55"/>
      <c r="E187" s="5"/>
      <c r="F187" s="5"/>
      <c r="G187" s="5"/>
      <c r="H187" s="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</row>
    <row r="188" ht="15.75" customHeight="1">
      <c r="A188" s="54"/>
      <c r="B188" s="54"/>
      <c r="C188" s="54"/>
      <c r="D188" s="55"/>
      <c r="E188" s="5"/>
      <c r="F188" s="5"/>
      <c r="G188" s="5"/>
      <c r="H188" s="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</row>
    <row r="189" ht="15.75" customHeight="1">
      <c r="A189" s="54"/>
      <c r="B189" s="54"/>
      <c r="C189" s="54"/>
      <c r="D189" s="55"/>
      <c r="E189" s="5"/>
      <c r="F189" s="5"/>
      <c r="G189" s="5"/>
      <c r="H189" s="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</row>
    <row r="190" ht="15.75" customHeight="1">
      <c r="A190" s="54"/>
      <c r="B190" s="54"/>
      <c r="C190" s="54"/>
      <c r="D190" s="55"/>
      <c r="E190" s="5"/>
      <c r="F190" s="5"/>
      <c r="G190" s="5"/>
      <c r="H190" s="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</row>
    <row r="191" ht="15.75" customHeight="1">
      <c r="A191" s="54"/>
      <c r="B191" s="54"/>
      <c r="C191" s="54"/>
      <c r="D191" s="55"/>
      <c r="E191" s="5"/>
      <c r="F191" s="5"/>
      <c r="G191" s="5"/>
      <c r="H191" s="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 ht="15.75" customHeight="1">
      <c r="A192" s="54"/>
      <c r="B192" s="54"/>
      <c r="C192" s="54"/>
      <c r="D192" s="55"/>
      <c r="E192" s="5"/>
      <c r="F192" s="5"/>
      <c r="G192" s="5"/>
      <c r="H192" s="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</row>
    <row r="193" ht="15.75" customHeight="1">
      <c r="A193" s="54"/>
      <c r="B193" s="54"/>
      <c r="C193" s="54"/>
      <c r="D193" s="55"/>
      <c r="E193" s="5"/>
      <c r="F193" s="5"/>
      <c r="G193" s="5"/>
      <c r="H193" s="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</row>
    <row r="194" ht="15.75" customHeight="1">
      <c r="A194" s="54"/>
      <c r="B194" s="54"/>
      <c r="C194" s="54"/>
      <c r="D194" s="55"/>
      <c r="E194" s="5"/>
      <c r="F194" s="5"/>
      <c r="G194" s="5"/>
      <c r="H194" s="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</row>
    <row r="195" ht="15.75" customHeight="1">
      <c r="A195" s="54"/>
      <c r="B195" s="54"/>
      <c r="C195" s="54"/>
      <c r="D195" s="55"/>
      <c r="E195" s="5"/>
      <c r="F195" s="5"/>
      <c r="G195" s="5"/>
      <c r="H195" s="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</row>
    <row r="196" ht="15.75" customHeight="1">
      <c r="A196" s="54"/>
      <c r="B196" s="54"/>
      <c r="C196" s="54"/>
      <c r="D196" s="55"/>
      <c r="E196" s="5"/>
      <c r="F196" s="5"/>
      <c r="G196" s="5"/>
      <c r="H196" s="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 ht="15.75" customHeight="1">
      <c r="A197" s="54"/>
      <c r="B197" s="54"/>
      <c r="C197" s="54"/>
      <c r="D197" s="55"/>
      <c r="E197" s="5"/>
      <c r="F197" s="5"/>
      <c r="G197" s="5"/>
      <c r="H197" s="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</row>
    <row r="198" ht="15.75" customHeight="1">
      <c r="A198" s="54"/>
      <c r="B198" s="54"/>
      <c r="C198" s="54"/>
      <c r="D198" s="55"/>
      <c r="E198" s="5"/>
      <c r="F198" s="5"/>
      <c r="G198" s="5"/>
      <c r="H198" s="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</row>
    <row r="199" ht="15.75" customHeight="1">
      <c r="A199" s="54"/>
      <c r="B199" s="54"/>
      <c r="C199" s="54"/>
      <c r="D199" s="55"/>
      <c r="E199" s="5"/>
      <c r="F199" s="5"/>
      <c r="G199" s="5"/>
      <c r="H199" s="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</row>
    <row r="200" ht="15.75" customHeight="1">
      <c r="A200" s="54"/>
      <c r="B200" s="54"/>
      <c r="C200" s="54"/>
      <c r="D200" s="55"/>
      <c r="E200" s="5"/>
      <c r="F200" s="5"/>
      <c r="G200" s="5"/>
      <c r="H200" s="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</row>
    <row r="201" ht="15.75" customHeight="1">
      <c r="A201" s="54"/>
      <c r="B201" s="54"/>
      <c r="C201" s="54"/>
      <c r="D201" s="55"/>
      <c r="E201" s="5"/>
      <c r="F201" s="5"/>
      <c r="G201" s="5"/>
      <c r="H201" s="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</row>
    <row r="202" ht="15.75" customHeight="1">
      <c r="A202" s="54"/>
      <c r="B202" s="54"/>
      <c r="C202" s="54"/>
      <c r="D202" s="55"/>
      <c r="E202" s="5"/>
      <c r="F202" s="5"/>
      <c r="G202" s="5"/>
      <c r="H202" s="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</row>
    <row r="203" ht="15.75" customHeight="1">
      <c r="A203" s="54"/>
      <c r="B203" s="54"/>
      <c r="C203" s="54"/>
      <c r="D203" s="55"/>
      <c r="E203" s="5"/>
      <c r="F203" s="5"/>
      <c r="G203" s="5"/>
      <c r="H203" s="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</row>
    <row r="204" ht="15.75" customHeight="1">
      <c r="A204" s="54"/>
      <c r="B204" s="54"/>
      <c r="C204" s="54"/>
      <c r="D204" s="55"/>
      <c r="E204" s="5"/>
      <c r="F204" s="5"/>
      <c r="G204" s="5"/>
      <c r="H204" s="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</row>
    <row r="205" ht="15.75" customHeight="1">
      <c r="A205" s="54"/>
      <c r="B205" s="54"/>
      <c r="C205" s="54"/>
      <c r="D205" s="55"/>
      <c r="E205" s="5"/>
      <c r="F205" s="5"/>
      <c r="G205" s="5"/>
      <c r="H205" s="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</row>
    <row r="206" ht="15.75" customHeight="1">
      <c r="A206" s="54"/>
      <c r="B206" s="54"/>
      <c r="C206" s="54"/>
      <c r="D206" s="55"/>
      <c r="E206" s="5"/>
      <c r="F206" s="5"/>
      <c r="G206" s="5"/>
      <c r="H206" s="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</row>
    <row r="207" ht="15.75" customHeight="1">
      <c r="A207" s="54"/>
      <c r="B207" s="54"/>
      <c r="C207" s="54"/>
      <c r="D207" s="55"/>
      <c r="E207" s="5"/>
      <c r="F207" s="5"/>
      <c r="G207" s="5"/>
      <c r="H207" s="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</row>
    <row r="208" ht="15.75" customHeight="1">
      <c r="A208" s="54"/>
      <c r="B208" s="54"/>
      <c r="C208" s="54"/>
      <c r="D208" s="55"/>
      <c r="E208" s="5"/>
      <c r="F208" s="5"/>
      <c r="G208" s="5"/>
      <c r="H208" s="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</row>
    <row r="209" ht="15.75" customHeight="1">
      <c r="A209" s="54"/>
      <c r="B209" s="54"/>
      <c r="C209" s="54"/>
      <c r="D209" s="55"/>
      <c r="E209" s="5"/>
      <c r="F209" s="5"/>
      <c r="G209" s="5"/>
      <c r="H209" s="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</row>
    <row r="210" ht="15.75" customHeight="1">
      <c r="A210" s="54"/>
      <c r="B210" s="54"/>
      <c r="C210" s="54"/>
      <c r="D210" s="55"/>
      <c r="E210" s="5"/>
      <c r="F210" s="5"/>
      <c r="G210" s="5"/>
      <c r="H210" s="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</row>
    <row r="211" ht="15.75" customHeight="1">
      <c r="A211" s="54"/>
      <c r="B211" s="54"/>
      <c r="C211" s="54"/>
      <c r="D211" s="55"/>
      <c r="E211" s="5"/>
      <c r="F211" s="5"/>
      <c r="G211" s="5"/>
      <c r="H211" s="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</row>
    <row r="212" ht="15.75" customHeight="1">
      <c r="A212" s="54"/>
      <c r="B212" s="54"/>
      <c r="C212" s="54"/>
      <c r="D212" s="55"/>
      <c r="E212" s="5"/>
      <c r="F212" s="5"/>
      <c r="G212" s="5"/>
      <c r="H212" s="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</row>
    <row r="213" ht="15.75" customHeight="1">
      <c r="A213" s="54"/>
      <c r="B213" s="54"/>
      <c r="C213" s="54"/>
      <c r="D213" s="55"/>
      <c r="E213" s="5"/>
      <c r="F213" s="5"/>
      <c r="G213" s="5"/>
      <c r="H213" s="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</row>
    <row r="214" ht="15.75" customHeight="1">
      <c r="A214" s="54"/>
      <c r="B214" s="54"/>
      <c r="C214" s="54"/>
      <c r="D214" s="55"/>
      <c r="E214" s="5"/>
      <c r="F214" s="5"/>
      <c r="G214" s="5"/>
      <c r="H214" s="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</row>
    <row r="215" ht="15.75" customHeight="1">
      <c r="A215" s="54"/>
      <c r="B215" s="54"/>
      <c r="C215" s="54"/>
      <c r="D215" s="55"/>
      <c r="E215" s="5"/>
      <c r="F215" s="5"/>
      <c r="G215" s="5"/>
      <c r="H215" s="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</row>
    <row r="216" ht="15.75" customHeight="1">
      <c r="A216" s="54"/>
      <c r="B216" s="54"/>
      <c r="C216" s="54"/>
      <c r="D216" s="55"/>
      <c r="E216" s="5"/>
      <c r="F216" s="5"/>
      <c r="G216" s="5"/>
      <c r="H216" s="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</row>
    <row r="217" ht="15.75" customHeight="1">
      <c r="A217" s="54"/>
      <c r="B217" s="54"/>
      <c r="C217" s="54"/>
      <c r="D217" s="55"/>
      <c r="E217" s="5"/>
      <c r="F217" s="5"/>
      <c r="G217" s="5"/>
      <c r="H217" s="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</row>
    <row r="218" ht="15.75" customHeight="1">
      <c r="A218" s="54"/>
      <c r="B218" s="54"/>
      <c r="C218" s="54"/>
      <c r="D218" s="55"/>
      <c r="E218" s="5"/>
      <c r="F218" s="5"/>
      <c r="G218" s="5"/>
      <c r="H218" s="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</row>
    <row r="219" ht="15.75" customHeight="1">
      <c r="A219" s="54"/>
      <c r="B219" s="54"/>
      <c r="C219" s="54"/>
      <c r="D219" s="55"/>
      <c r="E219" s="5"/>
      <c r="F219" s="5"/>
      <c r="G219" s="5"/>
      <c r="H219" s="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</row>
    <row r="220" ht="15.75" customHeight="1">
      <c r="A220" s="54"/>
      <c r="B220" s="54"/>
      <c r="C220" s="54"/>
      <c r="D220" s="55"/>
      <c r="E220" s="5"/>
      <c r="F220" s="5"/>
      <c r="G220" s="5"/>
      <c r="H220" s="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</row>
    <row r="221" ht="15.75" customHeight="1">
      <c r="A221" s="54"/>
      <c r="B221" s="54"/>
      <c r="C221" s="54"/>
      <c r="D221" s="55"/>
      <c r="E221" s="5"/>
      <c r="F221" s="5"/>
      <c r="G221" s="5"/>
      <c r="H221" s="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</row>
    <row r="222" ht="15.75" customHeight="1">
      <c r="A222" s="54"/>
      <c r="B222" s="54"/>
      <c r="C222" s="54"/>
      <c r="D222" s="55"/>
      <c r="E222" s="5"/>
      <c r="F222" s="5"/>
      <c r="G222" s="5"/>
      <c r="H222" s="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</row>
    <row r="223" ht="15.75" customHeight="1">
      <c r="A223" s="54"/>
      <c r="B223" s="54"/>
      <c r="C223" s="54"/>
      <c r="D223" s="55"/>
      <c r="E223" s="5"/>
      <c r="F223" s="5"/>
      <c r="G223" s="5"/>
      <c r="H223" s="4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</row>
    <row r="224" ht="15.75" customHeight="1">
      <c r="A224" s="54"/>
      <c r="B224" s="54"/>
      <c r="C224" s="54"/>
      <c r="D224" s="55"/>
      <c r="E224" s="5"/>
      <c r="F224" s="5"/>
      <c r="G224" s="5"/>
      <c r="H224" s="4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D29:G29"/>
    <mergeCell ref="D30:G30"/>
    <mergeCell ref="D31:G31"/>
    <mergeCell ref="D32:G32"/>
    <mergeCell ref="D33:G33"/>
    <mergeCell ref="D34:G34"/>
    <mergeCell ref="D22:G22"/>
    <mergeCell ref="D23:G23"/>
    <mergeCell ref="D24:G24"/>
    <mergeCell ref="D25:G25"/>
    <mergeCell ref="D26:G26"/>
    <mergeCell ref="D27:G27"/>
    <mergeCell ref="D28:G28"/>
    <mergeCell ref="A4:B4"/>
    <mergeCell ref="A5:B5"/>
    <mergeCell ref="A6:B6"/>
    <mergeCell ref="C6:D6"/>
    <mergeCell ref="A1:G1"/>
    <mergeCell ref="A2:B2"/>
    <mergeCell ref="C2:D2"/>
    <mergeCell ref="G2:G5"/>
    <mergeCell ref="A3:B3"/>
    <mergeCell ref="C3:D3"/>
    <mergeCell ref="C4:D4"/>
    <mergeCell ref="D8:D10"/>
    <mergeCell ref="D11:D14"/>
    <mergeCell ref="A11:B11"/>
    <mergeCell ref="A12:B12"/>
    <mergeCell ref="A13:B13"/>
    <mergeCell ref="A14:B14"/>
    <mergeCell ref="C5:D5"/>
    <mergeCell ref="A7:G7"/>
    <mergeCell ref="A8:B8"/>
    <mergeCell ref="E8:G10"/>
    <mergeCell ref="A9:B9"/>
    <mergeCell ref="A10:B10"/>
    <mergeCell ref="E11:G14"/>
    <mergeCell ref="A15:G15"/>
    <mergeCell ref="D16:G16"/>
    <mergeCell ref="D17:G17"/>
    <mergeCell ref="D18:G18"/>
    <mergeCell ref="D19:G19"/>
    <mergeCell ref="D20:G20"/>
    <mergeCell ref="D21:G21"/>
  </mergeCells>
  <hyperlinks>
    <hyperlink r:id="rId1" ref="K28"/>
    <hyperlink r:id="rId2" ref="K29"/>
    <hyperlink r:id="rId3" ref="K31"/>
    <hyperlink r:id="rId4" ref="K32"/>
    <hyperlink r:id="rId5" ref="K33"/>
    <hyperlink r:id="rId6" ref="K34"/>
  </hyperlinks>
  <printOptions/>
  <pageMargins bottom="0.75" footer="0.0" header="0.0" left="0.7" right="0.7" top="0.75"/>
  <pageSetup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1.71"/>
    <col customWidth="1" min="3" max="3" width="15.43"/>
    <col customWidth="1" min="4" max="4" width="26.14"/>
    <col customWidth="1" min="5" max="6" width="21.43"/>
    <col customWidth="1" min="7" max="7" width="31.0"/>
    <col customWidth="1" min="8" max="8" width="29.29"/>
    <col customWidth="1" min="9" max="9" width="26.43"/>
    <col customWidth="1" min="10" max="26" width="12.57"/>
  </cols>
  <sheetData>
    <row r="1" ht="43.5" customHeight="1">
      <c r="A1" s="56" t="s">
        <v>44</v>
      </c>
      <c r="B1" s="2"/>
      <c r="C1" s="2"/>
      <c r="D1" s="2"/>
      <c r="E1" s="2"/>
      <c r="F1" s="2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21.75" customHeight="1">
      <c r="A2" s="6" t="s">
        <v>1</v>
      </c>
      <c r="C2" s="57" t="s">
        <v>45</v>
      </c>
      <c r="E2" s="8"/>
      <c r="F2" s="9"/>
      <c r="G2" s="10" t="str">
        <f>IF(OR(NOW() &lt; C5,NOW() &gt; C6+1), "0",NETWORKDAYS(NOW(),C6))</f>
        <v>0</v>
      </c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1.75" customHeight="1">
      <c r="A3" s="6" t="s">
        <v>3</v>
      </c>
      <c r="C3" s="58" t="s">
        <v>46</v>
      </c>
      <c r="E3" s="12" t="s">
        <v>5</v>
      </c>
      <c r="F3" s="13" t="str">
        <f>NETWORKDAYS(C5,C6)&amp;" working days"</f>
        <v>10 working days</v>
      </c>
      <c r="G3" s="1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ht="21.75" customHeight="1">
      <c r="A4" s="6" t="s">
        <v>6</v>
      </c>
      <c r="C4" s="7" t="s">
        <v>47</v>
      </c>
      <c r="E4" s="12" t="s">
        <v>8</v>
      </c>
      <c r="F4" s="13" t="str">
        <f>COUNTA(A18:A95)&amp;" things"</f>
        <v>11 things</v>
      </c>
      <c r="G4" s="14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ht="21.75" customHeight="1">
      <c r="A5" s="15" t="s">
        <v>9</v>
      </c>
      <c r="C5" s="16">
        <v>45878.0</v>
      </c>
      <c r="E5" s="12" t="s">
        <v>10</v>
      </c>
      <c r="F5" s="13" t="str">
        <f>SUM(C18:C99)&amp;" points"</f>
        <v>41 points</v>
      </c>
      <c r="G5" s="17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ht="21.75" customHeight="1">
      <c r="A6" s="15" t="s">
        <v>11</v>
      </c>
      <c r="C6" s="16">
        <v>45891.0</v>
      </c>
      <c r="G6" s="18" t="s">
        <v>12</v>
      </c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ht="43.5" customHeight="1">
      <c r="A7" s="1" t="s">
        <v>13</v>
      </c>
      <c r="B7" s="2"/>
      <c r="C7" s="2"/>
      <c r="D7" s="2"/>
      <c r="E7" s="2"/>
      <c r="F7" s="2"/>
      <c r="G7" s="3"/>
      <c r="H7" s="4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22.5" customHeight="1">
      <c r="A8" s="19" t="s">
        <v>14</v>
      </c>
      <c r="B8" s="3"/>
      <c r="C8" s="13">
        <f>COUNTA(A17:A95)</f>
        <v>12</v>
      </c>
      <c r="D8" s="20" t="s">
        <v>15</v>
      </c>
      <c r="E8" s="21" t="s">
        <v>48</v>
      </c>
      <c r="H8" s="4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ht="22.5" customHeight="1">
      <c r="A9" s="19" t="s">
        <v>17</v>
      </c>
      <c r="B9" s="3"/>
      <c r="C9" s="59">
        <f>SUM(C17:C95)</f>
        <v>44</v>
      </c>
      <c r="H9" s="4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ht="22.5" customHeight="1">
      <c r="A10" s="22" t="s">
        <v>18</v>
      </c>
      <c r="B10" s="3"/>
      <c r="C10" s="23">
        <v>12.0</v>
      </c>
      <c r="H10" s="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ht="22.5" customHeight="1">
      <c r="A11" s="19" t="s">
        <v>19</v>
      </c>
      <c r="B11" s="3"/>
      <c r="C11" s="24">
        <v>0.0</v>
      </c>
      <c r="D11" s="20" t="s">
        <v>20</v>
      </c>
      <c r="E11" s="25" t="s">
        <v>21</v>
      </c>
      <c r="H11" s="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22.5" customHeight="1">
      <c r="A12" s="22" t="s">
        <v>22</v>
      </c>
      <c r="B12" s="3"/>
      <c r="C12" s="23">
        <v>44.0</v>
      </c>
      <c r="H12" s="4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ht="22.5" customHeight="1">
      <c r="A13" s="19" t="s">
        <v>23</v>
      </c>
      <c r="B13" s="3"/>
      <c r="C13" s="23">
        <v>0.0</v>
      </c>
      <c r="H13" s="4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22.5" customHeight="1">
      <c r="A14" s="26"/>
      <c r="B14" s="3"/>
      <c r="C14" s="27"/>
      <c r="H14" s="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ht="43.5" customHeight="1">
      <c r="A15" s="1" t="s">
        <v>24</v>
      </c>
      <c r="B15" s="2"/>
      <c r="C15" s="2"/>
      <c r="D15" s="2"/>
      <c r="E15" s="2"/>
      <c r="F15" s="2"/>
      <c r="G15" s="3"/>
      <c r="H15" s="4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ht="29.25" customHeight="1">
      <c r="A16" s="28" t="str">
        <f>"Things ("&amp;COUNTA(A17:A98)&amp;")"</f>
        <v>Things (12)</v>
      </c>
      <c r="B16" s="28" t="s">
        <v>25</v>
      </c>
      <c r="C16" s="28" t="str">
        <f>"Story Points ("&amp;SUM(C17:C98)&amp;")"</f>
        <v>Story Points (44)</v>
      </c>
      <c r="D16" s="6" t="s">
        <v>26</v>
      </c>
      <c r="H16" s="6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</row>
    <row r="17" ht="21.0" customHeight="1">
      <c r="A17" s="32" t="s">
        <v>49</v>
      </c>
      <c r="B17" s="60" t="s">
        <v>28</v>
      </c>
      <c r="C17" s="61">
        <v>3.0</v>
      </c>
      <c r="D17" s="41" t="s">
        <v>50</v>
      </c>
      <c r="E17" s="34"/>
      <c r="F17" s="34"/>
      <c r="G17" s="35"/>
      <c r="H17" s="36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ht="21.0" customHeight="1">
      <c r="A18" s="32" t="s">
        <v>51</v>
      </c>
      <c r="B18" s="31" t="s">
        <v>28</v>
      </c>
      <c r="C18" s="61">
        <v>3.0</v>
      </c>
      <c r="D18" s="41" t="s">
        <v>52</v>
      </c>
      <c r="E18" s="34"/>
      <c r="F18" s="34"/>
      <c r="G18" s="35"/>
      <c r="H18" s="37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ht="21.0" customHeight="1">
      <c r="A19" s="32" t="s">
        <v>53</v>
      </c>
      <c r="B19" s="31" t="s">
        <v>28</v>
      </c>
      <c r="C19" s="61">
        <v>3.0</v>
      </c>
      <c r="D19" s="41" t="s">
        <v>54</v>
      </c>
      <c r="E19" s="34"/>
      <c r="F19" s="34"/>
      <c r="G19" s="35"/>
      <c r="H19" s="37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ht="21.0" customHeight="1">
      <c r="A20" s="32" t="s">
        <v>55</v>
      </c>
      <c r="B20" s="31" t="s">
        <v>28</v>
      </c>
      <c r="C20" s="61">
        <v>6.0</v>
      </c>
      <c r="D20" s="42" t="s">
        <v>56</v>
      </c>
      <c r="E20" s="34"/>
      <c r="F20" s="34"/>
      <c r="G20" s="35"/>
      <c r="H20" s="37"/>
      <c r="I20" s="62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ht="21.0" customHeight="1">
      <c r="A21" s="32" t="s">
        <v>57</v>
      </c>
      <c r="B21" s="31" t="s">
        <v>28</v>
      </c>
      <c r="C21" s="61">
        <v>4.0</v>
      </c>
      <c r="D21" s="42" t="s">
        <v>58</v>
      </c>
      <c r="E21" s="34"/>
      <c r="F21" s="34"/>
      <c r="G21" s="35"/>
      <c r="H21" s="37"/>
      <c r="I21" s="63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ht="21.0" customHeight="1">
      <c r="A22" s="32" t="s">
        <v>59</v>
      </c>
      <c r="B22" s="31" t="s">
        <v>28</v>
      </c>
      <c r="C22" s="61">
        <v>3.0</v>
      </c>
      <c r="D22" s="42" t="s">
        <v>60</v>
      </c>
      <c r="E22" s="34"/>
      <c r="F22" s="34"/>
      <c r="G22" s="35"/>
      <c r="H22" s="36"/>
      <c r="I22" s="62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ht="21.0" customHeight="1">
      <c r="A23" s="32" t="s">
        <v>61</v>
      </c>
      <c r="B23" s="31" t="s">
        <v>28</v>
      </c>
      <c r="C23" s="61">
        <v>5.0</v>
      </c>
      <c r="D23" s="42" t="s">
        <v>62</v>
      </c>
      <c r="E23" s="34"/>
      <c r="F23" s="34"/>
      <c r="G23" s="35"/>
      <c r="H23" s="36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ht="21.0" customHeight="1">
      <c r="A24" s="32" t="s">
        <v>63</v>
      </c>
      <c r="B24" s="31" t="s">
        <v>28</v>
      </c>
      <c r="C24" s="61">
        <v>3.0</v>
      </c>
      <c r="D24" s="41" t="s">
        <v>64</v>
      </c>
      <c r="E24" s="34"/>
      <c r="F24" s="34"/>
      <c r="G24" s="35"/>
      <c r="H24" s="36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ht="21.0" customHeight="1">
      <c r="A25" s="32" t="s">
        <v>65</v>
      </c>
      <c r="B25" s="31" t="s">
        <v>28</v>
      </c>
      <c r="C25" s="61">
        <v>3.0</v>
      </c>
      <c r="D25" s="41" t="s">
        <v>66</v>
      </c>
      <c r="E25" s="34"/>
      <c r="F25" s="34"/>
      <c r="G25" s="35"/>
      <c r="H25" s="36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ht="21.0" customHeight="1">
      <c r="A26" s="32" t="s">
        <v>67</v>
      </c>
      <c r="B26" s="31" t="s">
        <v>28</v>
      </c>
      <c r="C26" s="61">
        <v>3.0</v>
      </c>
      <c r="D26" s="41" t="s">
        <v>68</v>
      </c>
      <c r="E26" s="34"/>
      <c r="F26" s="34"/>
      <c r="G26" s="35"/>
      <c r="H26" s="36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ht="21.0" customHeight="1">
      <c r="A27" s="32" t="s">
        <v>69</v>
      </c>
      <c r="B27" s="31" t="s">
        <v>28</v>
      </c>
      <c r="C27" s="61">
        <v>5.0</v>
      </c>
      <c r="D27" s="42" t="s">
        <v>70</v>
      </c>
      <c r="E27" s="34"/>
      <c r="F27" s="34"/>
      <c r="G27" s="35"/>
      <c r="H27" s="43"/>
      <c r="I27" s="43"/>
      <c r="K27" s="44"/>
      <c r="L27" s="5"/>
      <c r="M27" s="5"/>
      <c r="N27" s="5"/>
      <c r="O27" s="5"/>
      <c r="P27" s="5"/>
      <c r="Q27" s="5"/>
      <c r="R27" s="5"/>
      <c r="S27" s="5"/>
    </row>
    <row r="28" ht="21.0" customHeight="1">
      <c r="A28" s="32" t="s">
        <v>71</v>
      </c>
      <c r="B28" s="31" t="s">
        <v>28</v>
      </c>
      <c r="C28" s="61">
        <v>3.0</v>
      </c>
      <c r="D28" s="42" t="s">
        <v>72</v>
      </c>
      <c r="E28" s="34"/>
      <c r="F28" s="34"/>
      <c r="G28" s="35"/>
      <c r="H28" s="43"/>
      <c r="I28" s="43"/>
      <c r="K28" s="46"/>
      <c r="L28" s="5"/>
      <c r="M28" s="5"/>
      <c r="N28" s="5"/>
      <c r="O28" s="5"/>
      <c r="P28" s="5"/>
      <c r="Q28" s="5"/>
      <c r="R28" s="5"/>
      <c r="S28" s="5"/>
    </row>
    <row r="29" ht="21.0" customHeight="1">
      <c r="A29" s="48"/>
      <c r="B29" s="48"/>
      <c r="C29" s="48"/>
      <c r="D29" s="49"/>
      <c r="H29" s="43"/>
      <c r="I29" s="43"/>
      <c r="K29" s="46"/>
      <c r="L29" s="5"/>
      <c r="M29" s="5"/>
      <c r="N29" s="5"/>
      <c r="O29" s="5"/>
      <c r="P29" s="5"/>
      <c r="Q29" s="5"/>
      <c r="R29" s="5"/>
      <c r="S29" s="5"/>
    </row>
    <row r="30" ht="21.0" customHeight="1">
      <c r="A30" s="48"/>
      <c r="B30" s="48"/>
      <c r="C30" s="48"/>
      <c r="D30" s="49"/>
      <c r="H30" s="43"/>
      <c r="I30" s="43"/>
      <c r="K30" s="47"/>
      <c r="L30" s="5"/>
      <c r="M30" s="5"/>
      <c r="N30" s="5"/>
      <c r="O30" s="5"/>
      <c r="P30" s="5"/>
      <c r="Q30" s="5"/>
      <c r="R30" s="5"/>
      <c r="S30" s="5"/>
    </row>
    <row r="31" ht="21.0" customHeight="1">
      <c r="A31" s="48"/>
      <c r="B31" s="48"/>
      <c r="C31" s="48"/>
      <c r="D31" s="49"/>
      <c r="H31" s="43"/>
      <c r="I31" s="43"/>
      <c r="K31" s="46"/>
      <c r="L31" s="5"/>
      <c r="M31" s="5"/>
      <c r="N31" s="5"/>
      <c r="O31" s="5"/>
      <c r="P31" s="5"/>
      <c r="Q31" s="5"/>
      <c r="R31" s="5"/>
      <c r="S31" s="5"/>
    </row>
    <row r="32" ht="21.0" customHeight="1">
      <c r="A32" s="48"/>
      <c r="B32" s="48"/>
      <c r="C32" s="48"/>
      <c r="D32" s="49"/>
      <c r="H32" s="43"/>
      <c r="I32" s="43"/>
      <c r="K32" s="46"/>
      <c r="L32" s="5"/>
      <c r="M32" s="5"/>
      <c r="N32" s="5"/>
      <c r="O32" s="5"/>
      <c r="P32" s="5"/>
      <c r="Q32" s="5"/>
      <c r="R32" s="5"/>
      <c r="S32" s="5"/>
    </row>
    <row r="33" ht="21.0" customHeight="1">
      <c r="A33" s="48"/>
      <c r="B33" s="48"/>
      <c r="C33" s="48"/>
      <c r="D33" s="49"/>
      <c r="H33" s="43"/>
      <c r="I33" s="43"/>
      <c r="K33" s="46"/>
      <c r="L33" s="5"/>
      <c r="M33" s="5"/>
      <c r="N33" s="5"/>
      <c r="O33" s="5"/>
      <c r="P33" s="5"/>
      <c r="Q33" s="5"/>
      <c r="R33" s="5"/>
      <c r="S33" s="5"/>
    </row>
    <row r="34" ht="21.0" customHeight="1">
      <c r="A34" s="48"/>
      <c r="B34" s="48"/>
      <c r="C34" s="48"/>
      <c r="D34" s="49"/>
      <c r="H34" s="43"/>
      <c r="I34" s="43"/>
      <c r="K34" s="46"/>
      <c r="L34" s="5"/>
      <c r="M34" s="5"/>
      <c r="N34" s="5"/>
      <c r="O34" s="5"/>
      <c r="P34" s="5"/>
      <c r="Q34" s="5"/>
      <c r="R34" s="5"/>
      <c r="S34" s="5"/>
    </row>
    <row r="35" ht="21.0" customHeight="1">
      <c r="A35" s="50"/>
      <c r="B35" s="51"/>
      <c r="C35" s="51"/>
      <c r="D35" s="51"/>
      <c r="E35" s="5"/>
      <c r="F35" s="5"/>
      <c r="G35" s="5"/>
      <c r="H35" s="4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ht="21.0" customHeight="1">
      <c r="A36" s="52"/>
      <c r="B36" s="51"/>
      <c r="C36" s="51"/>
      <c r="D36" s="51"/>
      <c r="E36" s="5"/>
      <c r="F36" s="5"/>
      <c r="G36" s="5"/>
      <c r="H36" s="4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ht="21.0" customHeight="1">
      <c r="A37" s="51"/>
      <c r="B37" s="51"/>
      <c r="C37" s="51"/>
      <c r="D37" s="51"/>
      <c r="E37" s="5"/>
      <c r="F37" s="5"/>
      <c r="G37" s="5"/>
      <c r="H37" s="4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ht="15.75" customHeight="1">
      <c r="A38" s="51"/>
      <c r="B38" s="51"/>
      <c r="C38" s="51"/>
      <c r="D38" s="51"/>
      <c r="E38" s="5"/>
      <c r="F38" s="5"/>
      <c r="G38" s="5"/>
      <c r="H38" s="4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ht="15.75" customHeight="1">
      <c r="A39" s="51"/>
      <c r="B39" s="51"/>
      <c r="C39" s="51"/>
      <c r="D39" s="51"/>
      <c r="E39" s="5"/>
      <c r="F39" s="5"/>
      <c r="G39" s="5"/>
      <c r="H39" s="4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ht="15.75" customHeight="1">
      <c r="A40" s="51"/>
      <c r="B40" s="51"/>
      <c r="C40" s="51"/>
      <c r="D40" s="51"/>
      <c r="E40" s="5"/>
      <c r="F40" s="5"/>
      <c r="G40" s="5"/>
      <c r="H40" s="4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ht="15.75" customHeight="1">
      <c r="A41" s="51"/>
      <c r="B41" s="51"/>
      <c r="C41" s="51"/>
      <c r="D41" s="51"/>
      <c r="E41" s="5"/>
      <c r="F41" s="5"/>
      <c r="G41" s="5"/>
      <c r="H41" s="4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ht="15.75" customHeight="1">
      <c r="A42" s="53"/>
      <c r="B42" s="53"/>
      <c r="C42" s="53"/>
      <c r="D42" s="53"/>
      <c r="E42" s="5"/>
      <c r="F42" s="5"/>
      <c r="G42" s="5"/>
      <c r="H42" s="4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ht="15.75" customHeight="1">
      <c r="A43" s="53"/>
      <c r="B43" s="53"/>
      <c r="C43" s="53"/>
      <c r="D43" s="53"/>
      <c r="E43" s="5"/>
      <c r="F43" s="5"/>
      <c r="G43" s="5"/>
      <c r="H43" s="4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ht="15.75" customHeight="1">
      <c r="A44" s="53"/>
      <c r="B44" s="53"/>
      <c r="C44" s="53"/>
      <c r="D44" s="53"/>
      <c r="E44" s="5"/>
      <c r="F44" s="5"/>
      <c r="G44" s="5"/>
      <c r="H44" s="4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ht="15.75" customHeight="1">
      <c r="A45" s="53"/>
      <c r="B45" s="53"/>
      <c r="C45" s="53"/>
      <c r="D45" s="53"/>
      <c r="E45" s="5"/>
      <c r="F45" s="5"/>
      <c r="G45" s="5"/>
      <c r="H45" s="4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ht="15.75" customHeight="1">
      <c r="A46" s="53"/>
      <c r="B46" s="53"/>
      <c r="C46" s="53"/>
      <c r="D46" s="53"/>
      <c r="E46" s="5"/>
      <c r="F46" s="5"/>
      <c r="G46" s="5"/>
      <c r="H46" s="4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ht="15.75" customHeight="1">
      <c r="A47" s="54"/>
      <c r="B47" s="54"/>
      <c r="C47" s="54"/>
      <c r="D47" s="55"/>
      <c r="E47" s="5"/>
      <c r="F47" s="5"/>
      <c r="G47" s="5"/>
      <c r="H47" s="4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ht="15.75" customHeight="1">
      <c r="A48" s="54"/>
      <c r="B48" s="54"/>
      <c r="C48" s="54"/>
      <c r="D48" s="55"/>
      <c r="E48" s="5"/>
      <c r="F48" s="5"/>
      <c r="G48" s="5"/>
      <c r="H48" s="4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ht="15.75" customHeight="1">
      <c r="A49" s="54"/>
      <c r="B49" s="54"/>
      <c r="C49" s="54"/>
      <c r="D49" s="55"/>
      <c r="E49" s="5"/>
      <c r="F49" s="5"/>
      <c r="G49" s="5"/>
      <c r="H49" s="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ht="15.75" customHeight="1">
      <c r="A50" s="54"/>
      <c r="B50" s="54"/>
      <c r="C50" s="54"/>
      <c r="D50" s="55"/>
      <c r="E50" s="5"/>
      <c r="F50" s="5"/>
      <c r="G50" s="5"/>
      <c r="H50" s="4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ht="15.75" customHeight="1">
      <c r="A51" s="54"/>
      <c r="B51" s="54"/>
      <c r="C51" s="54"/>
      <c r="D51" s="55"/>
      <c r="E51" s="5"/>
      <c r="F51" s="5"/>
      <c r="G51" s="5"/>
      <c r="H51" s="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ht="15.75" customHeight="1">
      <c r="A52" s="54"/>
      <c r="B52" s="54"/>
      <c r="C52" s="54"/>
      <c r="D52" s="55"/>
      <c r="E52" s="5"/>
      <c r="F52" s="5"/>
      <c r="G52" s="5"/>
      <c r="H52" s="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ht="15.75" customHeight="1">
      <c r="A53" s="54"/>
      <c r="B53" s="54"/>
      <c r="C53" s="54"/>
      <c r="D53" s="55"/>
      <c r="E53" s="5"/>
      <c r="F53" s="5"/>
      <c r="G53" s="5"/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ht="15.75" customHeight="1">
      <c r="A54" s="54"/>
      <c r="B54" s="54"/>
      <c r="C54" s="54"/>
      <c r="D54" s="55"/>
      <c r="E54" s="5"/>
      <c r="F54" s="5"/>
      <c r="G54" s="5"/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ht="15.75" customHeight="1">
      <c r="A55" s="54"/>
      <c r="B55" s="54"/>
      <c r="C55" s="54"/>
      <c r="D55" s="55"/>
      <c r="E55" s="5"/>
      <c r="F55" s="5"/>
      <c r="G55" s="5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ht="15.75" customHeight="1">
      <c r="A56" s="54"/>
      <c r="B56" s="54"/>
      <c r="C56" s="54"/>
      <c r="D56" s="55"/>
      <c r="E56" s="5"/>
      <c r="F56" s="5"/>
      <c r="G56" s="5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ht="15.75" customHeight="1">
      <c r="A57" s="54"/>
      <c r="B57" s="54"/>
      <c r="C57" s="54"/>
      <c r="D57" s="55"/>
      <c r="E57" s="5"/>
      <c r="F57" s="5"/>
      <c r="G57" s="5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ht="15.75" customHeight="1">
      <c r="A58" s="54"/>
      <c r="B58" s="54"/>
      <c r="C58" s="54"/>
      <c r="D58" s="55"/>
      <c r="E58" s="5"/>
      <c r="F58" s="5"/>
      <c r="G58" s="5"/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ht="15.75" customHeight="1">
      <c r="A59" s="54"/>
      <c r="B59" s="54"/>
      <c r="C59" s="54"/>
      <c r="D59" s="55"/>
      <c r="E59" s="5"/>
      <c r="F59" s="5"/>
      <c r="G59" s="5"/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ht="15.75" customHeight="1">
      <c r="A60" s="54"/>
      <c r="B60" s="54"/>
      <c r="C60" s="54"/>
      <c r="D60" s="55"/>
      <c r="E60" s="5"/>
      <c r="F60" s="5"/>
      <c r="G60" s="5"/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ht="15.75" customHeight="1">
      <c r="A61" s="54"/>
      <c r="B61" s="54"/>
      <c r="C61" s="54"/>
      <c r="D61" s="55"/>
      <c r="E61" s="5"/>
      <c r="F61" s="5"/>
      <c r="G61" s="5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ht="15.75" customHeight="1">
      <c r="A62" s="54"/>
      <c r="B62" s="54"/>
      <c r="C62" s="54"/>
      <c r="D62" s="55"/>
      <c r="E62" s="5"/>
      <c r="F62" s="5"/>
      <c r="G62" s="5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ht="15.75" customHeight="1">
      <c r="A63" s="54"/>
      <c r="B63" s="54"/>
      <c r="C63" s="54"/>
      <c r="D63" s="55"/>
      <c r="E63" s="5"/>
      <c r="F63" s="5"/>
      <c r="G63" s="5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 ht="15.75" customHeight="1">
      <c r="A64" s="54"/>
      <c r="B64" s="54"/>
      <c r="C64" s="54"/>
      <c r="D64" s="55"/>
      <c r="E64" s="5"/>
      <c r="F64" s="5"/>
      <c r="G64" s="5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ht="15.75" customHeight="1">
      <c r="A65" s="54"/>
      <c r="B65" s="54"/>
      <c r="C65" s="54"/>
      <c r="D65" s="55"/>
      <c r="E65" s="5"/>
      <c r="F65" s="5"/>
      <c r="G65" s="5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 ht="15.75" customHeight="1">
      <c r="A66" s="54"/>
      <c r="B66" s="54"/>
      <c r="C66" s="54"/>
      <c r="D66" s="55"/>
      <c r="E66" s="5"/>
      <c r="F66" s="5"/>
      <c r="G66" s="5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 ht="15.75" customHeight="1">
      <c r="A67" s="54"/>
      <c r="B67" s="54"/>
      <c r="C67" s="54"/>
      <c r="D67" s="55"/>
      <c r="E67" s="5"/>
      <c r="F67" s="5"/>
      <c r="G67" s="5"/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 ht="15.75" customHeight="1">
      <c r="A68" s="54"/>
      <c r="B68" s="54"/>
      <c r="C68" s="54"/>
      <c r="D68" s="55"/>
      <c r="E68" s="5"/>
      <c r="F68" s="5"/>
      <c r="G68" s="5"/>
      <c r="H68" s="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 ht="15.75" customHeight="1">
      <c r="A69" s="54"/>
      <c r="B69" s="54"/>
      <c r="C69" s="54"/>
      <c r="D69" s="55"/>
      <c r="E69" s="5"/>
      <c r="F69" s="5"/>
      <c r="G69" s="5"/>
      <c r="H69" s="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ht="15.75" customHeight="1">
      <c r="A70" s="54"/>
      <c r="B70" s="54"/>
      <c r="C70" s="54"/>
      <c r="D70" s="55"/>
      <c r="E70" s="5"/>
      <c r="F70" s="5"/>
      <c r="G70" s="5"/>
      <c r="H70" s="4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 ht="15.75" customHeight="1">
      <c r="A71" s="54"/>
      <c r="B71" s="54"/>
      <c r="C71" s="54"/>
      <c r="D71" s="55"/>
      <c r="E71" s="5"/>
      <c r="F71" s="5"/>
      <c r="G71" s="5"/>
      <c r="H71" s="4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 ht="15.75" customHeight="1">
      <c r="A72" s="54"/>
      <c r="B72" s="54"/>
      <c r="C72" s="54"/>
      <c r="D72" s="55"/>
      <c r="E72" s="5"/>
      <c r="F72" s="5"/>
      <c r="G72" s="5"/>
      <c r="H72" s="4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 ht="15.75" customHeight="1">
      <c r="A73" s="54"/>
      <c r="B73" s="54"/>
      <c r="C73" s="54"/>
      <c r="D73" s="55"/>
      <c r="E73" s="5"/>
      <c r="F73" s="5"/>
      <c r="G73" s="5"/>
      <c r="H73" s="4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 ht="15.75" customHeight="1">
      <c r="A74" s="54"/>
      <c r="B74" s="54"/>
      <c r="C74" s="54"/>
      <c r="D74" s="55"/>
      <c r="E74" s="5"/>
      <c r="F74" s="5"/>
      <c r="G74" s="5"/>
      <c r="H74" s="4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ht="15.75" customHeight="1">
      <c r="A75" s="54"/>
      <c r="B75" s="54"/>
      <c r="C75" s="54"/>
      <c r="D75" s="55"/>
      <c r="E75" s="5"/>
      <c r="F75" s="5"/>
      <c r="G75" s="5"/>
      <c r="H75" s="4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 ht="15.75" customHeight="1">
      <c r="A76" s="54"/>
      <c r="B76" s="54"/>
      <c r="C76" s="54"/>
      <c r="D76" s="55"/>
      <c r="E76" s="5"/>
      <c r="F76" s="5"/>
      <c r="G76" s="5"/>
      <c r="H76" s="4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ht="15.75" customHeight="1">
      <c r="A77" s="54"/>
      <c r="B77" s="54"/>
      <c r="C77" s="54"/>
      <c r="D77" s="55"/>
      <c r="E77" s="5"/>
      <c r="F77" s="5"/>
      <c r="G77" s="5"/>
      <c r="H77" s="4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ht="15.75" customHeight="1">
      <c r="A78" s="54"/>
      <c r="B78" s="54"/>
      <c r="C78" s="54"/>
      <c r="D78" s="55"/>
      <c r="E78" s="5"/>
      <c r="F78" s="5"/>
      <c r="G78" s="5"/>
      <c r="H78" s="4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ht="15.75" customHeight="1">
      <c r="A79" s="54"/>
      <c r="B79" s="54"/>
      <c r="C79" s="54"/>
      <c r="D79" s="55"/>
      <c r="E79" s="5"/>
      <c r="F79" s="5"/>
      <c r="G79" s="5"/>
      <c r="H79" s="4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ht="15.75" customHeight="1">
      <c r="A80" s="54"/>
      <c r="B80" s="54"/>
      <c r="C80" s="54"/>
      <c r="D80" s="55"/>
      <c r="E80" s="5"/>
      <c r="F80" s="5"/>
      <c r="G80" s="5"/>
      <c r="H80" s="4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ht="15.75" customHeight="1">
      <c r="A81" s="54"/>
      <c r="B81" s="54"/>
      <c r="C81" s="54"/>
      <c r="D81" s="55"/>
      <c r="E81" s="5"/>
      <c r="F81" s="5"/>
      <c r="G81" s="5"/>
      <c r="H81" s="4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ht="15.75" customHeight="1">
      <c r="A82" s="54"/>
      <c r="B82" s="54"/>
      <c r="C82" s="54"/>
      <c r="D82" s="55"/>
      <c r="E82" s="5"/>
      <c r="F82" s="5"/>
      <c r="G82" s="5"/>
      <c r="H82" s="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ht="15.75" customHeight="1">
      <c r="A83" s="54"/>
      <c r="B83" s="54"/>
      <c r="C83" s="54"/>
      <c r="D83" s="55"/>
      <c r="E83" s="5"/>
      <c r="F83" s="5"/>
      <c r="G83" s="5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 ht="15.75" customHeight="1">
      <c r="A84" s="54"/>
      <c r="B84" s="54"/>
      <c r="C84" s="54"/>
      <c r="D84" s="55"/>
      <c r="E84" s="5"/>
      <c r="F84" s="5"/>
      <c r="G84" s="5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ht="15.75" customHeight="1">
      <c r="A85" s="54"/>
      <c r="B85" s="54"/>
      <c r="C85" s="54"/>
      <c r="D85" s="55"/>
      <c r="E85" s="5"/>
      <c r="F85" s="5"/>
      <c r="G85" s="5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ht="15.75" customHeight="1">
      <c r="A86" s="54"/>
      <c r="B86" s="54"/>
      <c r="C86" s="54"/>
      <c r="D86" s="55"/>
      <c r="E86" s="5"/>
      <c r="F86" s="5"/>
      <c r="G86" s="5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ht="15.75" customHeight="1">
      <c r="A87" s="54"/>
      <c r="B87" s="54"/>
      <c r="C87" s="54"/>
      <c r="D87" s="55"/>
      <c r="E87" s="5"/>
      <c r="F87" s="5"/>
      <c r="G87" s="5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ht="15.75" customHeight="1">
      <c r="A88" s="54"/>
      <c r="B88" s="54"/>
      <c r="C88" s="54"/>
      <c r="D88" s="55"/>
      <c r="E88" s="5"/>
      <c r="F88" s="5"/>
      <c r="G88" s="5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ht="15.75" customHeight="1">
      <c r="A89" s="54"/>
      <c r="B89" s="54"/>
      <c r="C89" s="54"/>
      <c r="D89" s="55"/>
      <c r="E89" s="5"/>
      <c r="F89" s="5"/>
      <c r="G89" s="5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ht="15.75" customHeight="1">
      <c r="A90" s="54"/>
      <c r="B90" s="54"/>
      <c r="C90" s="54"/>
      <c r="D90" s="55"/>
      <c r="E90" s="5"/>
      <c r="F90" s="5"/>
      <c r="G90" s="5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ht="15.75" customHeight="1">
      <c r="A91" s="54"/>
      <c r="B91" s="54"/>
      <c r="C91" s="54"/>
      <c r="D91" s="55"/>
      <c r="E91" s="5"/>
      <c r="F91" s="5"/>
      <c r="G91" s="5"/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ht="15.75" customHeight="1">
      <c r="A92" s="54"/>
      <c r="B92" s="54"/>
      <c r="C92" s="54"/>
      <c r="D92" s="55"/>
      <c r="E92" s="5"/>
      <c r="F92" s="5"/>
      <c r="G92" s="5"/>
      <c r="H92" s="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ht="15.75" customHeight="1">
      <c r="A93" s="54"/>
      <c r="B93" s="54"/>
      <c r="C93" s="54"/>
      <c r="D93" s="55"/>
      <c r="E93" s="5"/>
      <c r="F93" s="5"/>
      <c r="G93" s="5"/>
      <c r="H93" s="4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ht="15.75" customHeight="1">
      <c r="A94" s="54"/>
      <c r="B94" s="54"/>
      <c r="C94" s="54"/>
      <c r="D94" s="55"/>
      <c r="E94" s="5"/>
      <c r="F94" s="5"/>
      <c r="G94" s="5"/>
      <c r="H94" s="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ht="15.75" customHeight="1">
      <c r="A95" s="54"/>
      <c r="B95" s="54"/>
      <c r="C95" s="54"/>
      <c r="D95" s="55"/>
      <c r="E95" s="5"/>
      <c r="F95" s="5"/>
      <c r="G95" s="5"/>
      <c r="H95" s="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 ht="15.75" customHeight="1">
      <c r="A96" s="54"/>
      <c r="B96" s="54"/>
      <c r="C96" s="54"/>
      <c r="D96" s="55"/>
      <c r="E96" s="5"/>
      <c r="F96" s="5"/>
      <c r="G96" s="5"/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ht="15.75" customHeight="1">
      <c r="A97" s="54"/>
      <c r="B97" s="54"/>
      <c r="C97" s="54"/>
      <c r="D97" s="55"/>
      <c r="E97" s="5"/>
      <c r="F97" s="5"/>
      <c r="G97" s="5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ht="15.75" customHeight="1">
      <c r="A98" s="54"/>
      <c r="B98" s="54"/>
      <c r="C98" s="54"/>
      <c r="D98" s="55"/>
      <c r="E98" s="5"/>
      <c r="F98" s="5"/>
      <c r="G98" s="5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ht="15.75" customHeight="1">
      <c r="A99" s="54"/>
      <c r="B99" s="54"/>
      <c r="C99" s="54"/>
      <c r="D99" s="55"/>
      <c r="E99" s="5"/>
      <c r="F99" s="5"/>
      <c r="G99" s="5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ht="15.75" customHeight="1">
      <c r="A100" s="54"/>
      <c r="B100" s="54"/>
      <c r="C100" s="54"/>
      <c r="D100" s="55"/>
      <c r="E100" s="5"/>
      <c r="F100" s="5"/>
      <c r="G100" s="5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ht="15.75" customHeight="1">
      <c r="A101" s="54"/>
      <c r="B101" s="54"/>
      <c r="C101" s="54"/>
      <c r="D101" s="55"/>
      <c r="E101" s="5"/>
      <c r="F101" s="5"/>
      <c r="G101" s="5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ht="15.75" customHeight="1">
      <c r="A102" s="54"/>
      <c r="B102" s="54"/>
      <c r="C102" s="54"/>
      <c r="D102" s="55"/>
      <c r="E102" s="5"/>
      <c r="F102" s="5"/>
      <c r="G102" s="5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ht="15.75" customHeight="1">
      <c r="A103" s="54"/>
      <c r="B103" s="54"/>
      <c r="C103" s="54"/>
      <c r="D103" s="55"/>
      <c r="E103" s="5"/>
      <c r="F103" s="5"/>
      <c r="G103" s="5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ht="15.75" customHeight="1">
      <c r="A104" s="54"/>
      <c r="B104" s="54"/>
      <c r="C104" s="54"/>
      <c r="D104" s="55"/>
      <c r="E104" s="5"/>
      <c r="F104" s="5"/>
      <c r="G104" s="5"/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ht="15.75" customHeight="1">
      <c r="A105" s="54"/>
      <c r="B105" s="54"/>
      <c r="C105" s="54"/>
      <c r="D105" s="55"/>
      <c r="E105" s="5"/>
      <c r="F105" s="5"/>
      <c r="G105" s="5"/>
      <c r="H105" s="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ht="15.75" customHeight="1">
      <c r="A106" s="54"/>
      <c r="B106" s="54"/>
      <c r="C106" s="54"/>
      <c r="D106" s="55"/>
      <c r="E106" s="5"/>
      <c r="F106" s="5"/>
      <c r="G106" s="5"/>
      <c r="H106" s="4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ht="15.75" customHeight="1">
      <c r="A107" s="54"/>
      <c r="B107" s="54"/>
      <c r="C107" s="54"/>
      <c r="D107" s="55"/>
      <c r="E107" s="5"/>
      <c r="F107" s="5"/>
      <c r="G107" s="5"/>
      <c r="H107" s="4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ht="15.75" customHeight="1">
      <c r="A108" s="54"/>
      <c r="B108" s="54"/>
      <c r="C108" s="54"/>
      <c r="D108" s="55"/>
      <c r="E108" s="5"/>
      <c r="F108" s="5"/>
      <c r="G108" s="5"/>
      <c r="H108" s="4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ht="15.75" customHeight="1">
      <c r="A109" s="54"/>
      <c r="B109" s="54"/>
      <c r="C109" s="54"/>
      <c r="D109" s="55"/>
      <c r="E109" s="5"/>
      <c r="F109" s="5"/>
      <c r="G109" s="5"/>
      <c r="H109" s="4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ht="15.75" customHeight="1">
      <c r="A110" s="54"/>
      <c r="B110" s="54"/>
      <c r="C110" s="54"/>
      <c r="D110" s="55"/>
      <c r="E110" s="5"/>
      <c r="F110" s="5"/>
      <c r="G110" s="5"/>
      <c r="H110" s="4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ht="15.75" customHeight="1">
      <c r="A111" s="54"/>
      <c r="B111" s="54"/>
      <c r="C111" s="54"/>
      <c r="D111" s="55"/>
      <c r="E111" s="5"/>
      <c r="F111" s="5"/>
      <c r="G111" s="5"/>
      <c r="H111" s="4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ht="15.75" customHeight="1">
      <c r="A112" s="54"/>
      <c r="B112" s="54"/>
      <c r="C112" s="54"/>
      <c r="D112" s="55"/>
      <c r="E112" s="5"/>
      <c r="F112" s="5"/>
      <c r="G112" s="5"/>
      <c r="H112" s="4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ht="15.75" customHeight="1">
      <c r="A113" s="54"/>
      <c r="B113" s="54"/>
      <c r="C113" s="54"/>
      <c r="D113" s="55"/>
      <c r="E113" s="5"/>
      <c r="F113" s="5"/>
      <c r="G113" s="5"/>
      <c r="H113" s="4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ht="15.75" customHeight="1">
      <c r="A114" s="54"/>
      <c r="B114" s="54"/>
      <c r="C114" s="54"/>
      <c r="D114" s="55"/>
      <c r="E114" s="5"/>
      <c r="F114" s="5"/>
      <c r="G114" s="5"/>
      <c r="H114" s="4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ht="15.75" customHeight="1">
      <c r="A115" s="54"/>
      <c r="B115" s="54"/>
      <c r="C115" s="54"/>
      <c r="D115" s="55"/>
      <c r="E115" s="5"/>
      <c r="F115" s="5"/>
      <c r="G115" s="5"/>
      <c r="H115" s="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ht="15.75" customHeight="1">
      <c r="A116" s="54"/>
      <c r="B116" s="54"/>
      <c r="C116" s="54"/>
      <c r="D116" s="55"/>
      <c r="E116" s="5"/>
      <c r="F116" s="5"/>
      <c r="G116" s="5"/>
      <c r="H116" s="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ht="15.75" customHeight="1">
      <c r="A117" s="54"/>
      <c r="B117" s="54"/>
      <c r="C117" s="54"/>
      <c r="D117" s="55"/>
      <c r="E117" s="5"/>
      <c r="F117" s="5"/>
      <c r="G117" s="5"/>
      <c r="H117" s="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ht="15.75" customHeight="1">
      <c r="A118" s="54"/>
      <c r="B118" s="54"/>
      <c r="C118" s="54"/>
      <c r="D118" s="55"/>
      <c r="E118" s="5"/>
      <c r="F118" s="5"/>
      <c r="G118" s="5"/>
      <c r="H118" s="4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ht="15.75" customHeight="1">
      <c r="A119" s="54"/>
      <c r="B119" s="54"/>
      <c r="C119" s="54"/>
      <c r="D119" s="55"/>
      <c r="E119" s="5"/>
      <c r="F119" s="5"/>
      <c r="G119" s="5"/>
      <c r="H119" s="4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ht="15.75" customHeight="1">
      <c r="A120" s="54"/>
      <c r="B120" s="54"/>
      <c r="C120" s="54"/>
      <c r="D120" s="55"/>
      <c r="E120" s="5"/>
      <c r="F120" s="5"/>
      <c r="G120" s="5"/>
      <c r="H120" s="4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ht="15.75" customHeight="1">
      <c r="A121" s="54"/>
      <c r="B121" s="54"/>
      <c r="C121" s="54"/>
      <c r="D121" s="55"/>
      <c r="E121" s="5"/>
      <c r="F121" s="5"/>
      <c r="G121" s="5"/>
      <c r="H121" s="4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ht="15.75" customHeight="1">
      <c r="A122" s="54"/>
      <c r="B122" s="54"/>
      <c r="C122" s="54"/>
      <c r="D122" s="55"/>
      <c r="E122" s="5"/>
      <c r="F122" s="5"/>
      <c r="G122" s="5"/>
      <c r="H122" s="4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ht="15.75" customHeight="1">
      <c r="A123" s="54"/>
      <c r="B123" s="54"/>
      <c r="C123" s="54"/>
      <c r="D123" s="55"/>
      <c r="E123" s="5"/>
      <c r="F123" s="5"/>
      <c r="G123" s="5"/>
      <c r="H123" s="4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ht="15.75" customHeight="1">
      <c r="A124" s="54"/>
      <c r="B124" s="54"/>
      <c r="C124" s="54"/>
      <c r="D124" s="55"/>
      <c r="E124" s="5"/>
      <c r="F124" s="5"/>
      <c r="G124" s="5"/>
      <c r="H124" s="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 ht="15.75" customHeight="1">
      <c r="A125" s="54"/>
      <c r="B125" s="54"/>
      <c r="C125" s="54"/>
      <c r="D125" s="55"/>
      <c r="E125" s="5"/>
      <c r="F125" s="5"/>
      <c r="G125" s="5"/>
      <c r="H125" s="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ht="15.75" customHeight="1">
      <c r="A126" s="54"/>
      <c r="B126" s="54"/>
      <c r="C126" s="54"/>
      <c r="D126" s="55"/>
      <c r="E126" s="5"/>
      <c r="F126" s="5"/>
      <c r="G126" s="5"/>
      <c r="H126" s="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ht="15.75" customHeight="1">
      <c r="A127" s="54"/>
      <c r="B127" s="54"/>
      <c r="C127" s="54"/>
      <c r="D127" s="55"/>
      <c r="E127" s="5"/>
      <c r="F127" s="5"/>
      <c r="G127" s="5"/>
      <c r="H127" s="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ht="15.75" customHeight="1">
      <c r="A128" s="54"/>
      <c r="B128" s="54"/>
      <c r="C128" s="54"/>
      <c r="D128" s="55"/>
      <c r="E128" s="5"/>
      <c r="F128" s="5"/>
      <c r="G128" s="5"/>
      <c r="H128" s="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ht="15.75" customHeight="1">
      <c r="A129" s="54"/>
      <c r="B129" s="54"/>
      <c r="C129" s="54"/>
      <c r="D129" s="55"/>
      <c r="E129" s="5"/>
      <c r="F129" s="5"/>
      <c r="G129" s="5"/>
      <c r="H129" s="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ht="15.75" customHeight="1">
      <c r="A130" s="54"/>
      <c r="B130" s="54"/>
      <c r="C130" s="54"/>
      <c r="D130" s="55"/>
      <c r="E130" s="5"/>
      <c r="F130" s="5"/>
      <c r="G130" s="5"/>
      <c r="H130" s="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ht="15.75" customHeight="1">
      <c r="A131" s="54"/>
      <c r="B131" s="54"/>
      <c r="C131" s="54"/>
      <c r="D131" s="55"/>
      <c r="E131" s="5"/>
      <c r="F131" s="5"/>
      <c r="G131" s="5"/>
      <c r="H131" s="4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ht="15.75" customHeight="1">
      <c r="A132" s="54"/>
      <c r="B132" s="54"/>
      <c r="C132" s="54"/>
      <c r="D132" s="55"/>
      <c r="E132" s="5"/>
      <c r="F132" s="5"/>
      <c r="G132" s="5"/>
      <c r="H132" s="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ht="15.75" customHeight="1">
      <c r="A133" s="54"/>
      <c r="B133" s="54"/>
      <c r="C133" s="54"/>
      <c r="D133" s="55"/>
      <c r="E133" s="5"/>
      <c r="F133" s="5"/>
      <c r="G133" s="5"/>
      <c r="H133" s="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ht="15.75" customHeight="1">
      <c r="A134" s="54"/>
      <c r="B134" s="54"/>
      <c r="C134" s="54"/>
      <c r="D134" s="55"/>
      <c r="E134" s="5"/>
      <c r="F134" s="5"/>
      <c r="G134" s="5"/>
      <c r="H134" s="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ht="15.75" customHeight="1">
      <c r="A135" s="54"/>
      <c r="B135" s="54"/>
      <c r="C135" s="54"/>
      <c r="D135" s="55"/>
      <c r="E135" s="5"/>
      <c r="F135" s="5"/>
      <c r="G135" s="5"/>
      <c r="H135" s="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 ht="15.75" customHeight="1">
      <c r="A136" s="54"/>
      <c r="B136" s="54"/>
      <c r="C136" s="54"/>
      <c r="D136" s="55"/>
      <c r="E136" s="5"/>
      <c r="F136" s="5"/>
      <c r="G136" s="5"/>
      <c r="H136" s="4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 ht="15.75" customHeight="1">
      <c r="A137" s="54"/>
      <c r="B137" s="54"/>
      <c r="C137" s="54"/>
      <c r="D137" s="55"/>
      <c r="E137" s="5"/>
      <c r="F137" s="5"/>
      <c r="G137" s="5"/>
      <c r="H137" s="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 ht="15.75" customHeight="1">
      <c r="A138" s="54"/>
      <c r="B138" s="54"/>
      <c r="C138" s="54"/>
      <c r="D138" s="55"/>
      <c r="E138" s="5"/>
      <c r="F138" s="5"/>
      <c r="G138" s="5"/>
      <c r="H138" s="4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 ht="15.75" customHeight="1">
      <c r="A139" s="54"/>
      <c r="B139" s="54"/>
      <c r="C139" s="54"/>
      <c r="D139" s="55"/>
      <c r="E139" s="5"/>
      <c r="F139" s="5"/>
      <c r="G139" s="5"/>
      <c r="H139" s="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 ht="15.75" customHeight="1">
      <c r="A140" s="54"/>
      <c r="B140" s="54"/>
      <c r="C140" s="54"/>
      <c r="D140" s="55"/>
      <c r="E140" s="5"/>
      <c r="F140" s="5"/>
      <c r="G140" s="5"/>
      <c r="H140" s="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 ht="15.75" customHeight="1">
      <c r="A141" s="54"/>
      <c r="B141" s="54"/>
      <c r="C141" s="54"/>
      <c r="D141" s="55"/>
      <c r="E141" s="5"/>
      <c r="F141" s="5"/>
      <c r="G141" s="5"/>
      <c r="H141" s="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 ht="15.75" customHeight="1">
      <c r="A142" s="54"/>
      <c r="B142" s="54"/>
      <c r="C142" s="54"/>
      <c r="D142" s="55"/>
      <c r="E142" s="5"/>
      <c r="F142" s="5"/>
      <c r="G142" s="5"/>
      <c r="H142" s="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 ht="15.75" customHeight="1">
      <c r="A143" s="54"/>
      <c r="B143" s="54"/>
      <c r="C143" s="54"/>
      <c r="D143" s="55"/>
      <c r="E143" s="5"/>
      <c r="F143" s="5"/>
      <c r="G143" s="5"/>
      <c r="H143" s="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 ht="15.75" customHeight="1">
      <c r="A144" s="54"/>
      <c r="B144" s="54"/>
      <c r="C144" s="54"/>
      <c r="D144" s="55"/>
      <c r="E144" s="5"/>
      <c r="F144" s="5"/>
      <c r="G144" s="5"/>
      <c r="H144" s="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ht="15.75" customHeight="1">
      <c r="A145" s="54"/>
      <c r="B145" s="54"/>
      <c r="C145" s="54"/>
      <c r="D145" s="55"/>
      <c r="E145" s="5"/>
      <c r="F145" s="5"/>
      <c r="G145" s="5"/>
      <c r="H145" s="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 ht="15.75" customHeight="1">
      <c r="A146" s="54"/>
      <c r="B146" s="54"/>
      <c r="C146" s="54"/>
      <c r="D146" s="55"/>
      <c r="E146" s="5"/>
      <c r="F146" s="5"/>
      <c r="G146" s="5"/>
      <c r="H146" s="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 ht="15.75" customHeight="1">
      <c r="A147" s="54"/>
      <c r="B147" s="54"/>
      <c r="C147" s="54"/>
      <c r="D147" s="55"/>
      <c r="E147" s="5"/>
      <c r="F147" s="5"/>
      <c r="G147" s="5"/>
      <c r="H147" s="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 ht="15.75" customHeight="1">
      <c r="A148" s="54"/>
      <c r="B148" s="54"/>
      <c r="C148" s="54"/>
      <c r="D148" s="55"/>
      <c r="E148" s="5"/>
      <c r="F148" s="5"/>
      <c r="G148" s="5"/>
      <c r="H148" s="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 ht="15.75" customHeight="1">
      <c r="A149" s="54"/>
      <c r="B149" s="54"/>
      <c r="C149" s="54"/>
      <c r="D149" s="55"/>
      <c r="E149" s="5"/>
      <c r="F149" s="5"/>
      <c r="G149" s="5"/>
      <c r="H149" s="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 ht="15.75" customHeight="1">
      <c r="A150" s="54"/>
      <c r="B150" s="54"/>
      <c r="C150" s="54"/>
      <c r="D150" s="55"/>
      <c r="E150" s="5"/>
      <c r="F150" s="5"/>
      <c r="G150" s="5"/>
      <c r="H150" s="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 ht="15.75" customHeight="1">
      <c r="A151" s="54"/>
      <c r="B151" s="54"/>
      <c r="C151" s="54"/>
      <c r="D151" s="55"/>
      <c r="E151" s="5"/>
      <c r="F151" s="5"/>
      <c r="G151" s="5"/>
      <c r="H151" s="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 ht="15.75" customHeight="1">
      <c r="A152" s="54"/>
      <c r="B152" s="54"/>
      <c r="C152" s="54"/>
      <c r="D152" s="55"/>
      <c r="E152" s="5"/>
      <c r="F152" s="5"/>
      <c r="G152" s="5"/>
      <c r="H152" s="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 ht="15.75" customHeight="1">
      <c r="A153" s="54"/>
      <c r="B153" s="54"/>
      <c r="C153" s="54"/>
      <c r="D153" s="55"/>
      <c r="E153" s="5"/>
      <c r="F153" s="5"/>
      <c r="G153" s="5"/>
      <c r="H153" s="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 ht="15.75" customHeight="1">
      <c r="A154" s="54"/>
      <c r="B154" s="54"/>
      <c r="C154" s="54"/>
      <c r="D154" s="55"/>
      <c r="E154" s="5"/>
      <c r="F154" s="5"/>
      <c r="G154" s="5"/>
      <c r="H154" s="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 ht="15.75" customHeight="1">
      <c r="A155" s="54"/>
      <c r="B155" s="54"/>
      <c r="C155" s="54"/>
      <c r="D155" s="55"/>
      <c r="E155" s="5"/>
      <c r="F155" s="5"/>
      <c r="G155" s="5"/>
      <c r="H155" s="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 ht="15.75" customHeight="1">
      <c r="A156" s="54"/>
      <c r="B156" s="54"/>
      <c r="C156" s="54"/>
      <c r="D156" s="55"/>
      <c r="E156" s="5"/>
      <c r="F156" s="5"/>
      <c r="G156" s="5"/>
      <c r="H156" s="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 ht="15.75" customHeight="1">
      <c r="A157" s="54"/>
      <c r="B157" s="54"/>
      <c r="C157" s="54"/>
      <c r="D157" s="55"/>
      <c r="E157" s="5"/>
      <c r="F157" s="5"/>
      <c r="G157" s="5"/>
      <c r="H157" s="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 ht="15.75" customHeight="1">
      <c r="A158" s="54"/>
      <c r="B158" s="54"/>
      <c r="C158" s="54"/>
      <c r="D158" s="55"/>
      <c r="E158" s="5"/>
      <c r="F158" s="5"/>
      <c r="G158" s="5"/>
      <c r="H158" s="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 ht="15.75" customHeight="1">
      <c r="A159" s="54"/>
      <c r="B159" s="54"/>
      <c r="C159" s="54"/>
      <c r="D159" s="55"/>
      <c r="E159" s="5"/>
      <c r="F159" s="5"/>
      <c r="G159" s="5"/>
      <c r="H159" s="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 ht="15.75" customHeight="1">
      <c r="A160" s="54"/>
      <c r="B160" s="54"/>
      <c r="C160" s="54"/>
      <c r="D160" s="55"/>
      <c r="E160" s="5"/>
      <c r="F160" s="5"/>
      <c r="G160" s="5"/>
      <c r="H160" s="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 ht="15.75" customHeight="1">
      <c r="A161" s="54"/>
      <c r="B161" s="54"/>
      <c r="C161" s="54"/>
      <c r="D161" s="55"/>
      <c r="E161" s="5"/>
      <c r="F161" s="5"/>
      <c r="G161" s="5"/>
      <c r="H161" s="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 ht="15.75" customHeight="1">
      <c r="A162" s="54"/>
      <c r="B162" s="54"/>
      <c r="C162" s="54"/>
      <c r="D162" s="55"/>
      <c r="E162" s="5"/>
      <c r="F162" s="5"/>
      <c r="G162" s="5"/>
      <c r="H162" s="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 ht="15.75" customHeight="1">
      <c r="A163" s="54"/>
      <c r="B163" s="54"/>
      <c r="C163" s="54"/>
      <c r="D163" s="55"/>
      <c r="E163" s="5"/>
      <c r="F163" s="5"/>
      <c r="G163" s="5"/>
      <c r="H163" s="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</row>
    <row r="164" ht="15.75" customHeight="1">
      <c r="A164" s="54"/>
      <c r="B164" s="54"/>
      <c r="C164" s="54"/>
      <c r="D164" s="55"/>
      <c r="E164" s="5"/>
      <c r="F164" s="5"/>
      <c r="G164" s="5"/>
      <c r="H164" s="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 ht="15.75" customHeight="1">
      <c r="A165" s="54"/>
      <c r="B165" s="54"/>
      <c r="C165" s="54"/>
      <c r="D165" s="55"/>
      <c r="E165" s="5"/>
      <c r="F165" s="5"/>
      <c r="G165" s="5"/>
      <c r="H165" s="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 ht="15.75" customHeight="1">
      <c r="A166" s="54"/>
      <c r="B166" s="54"/>
      <c r="C166" s="54"/>
      <c r="D166" s="55"/>
      <c r="E166" s="5"/>
      <c r="F166" s="5"/>
      <c r="G166" s="5"/>
      <c r="H166" s="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</row>
    <row r="167" ht="15.75" customHeight="1">
      <c r="A167" s="54"/>
      <c r="B167" s="54"/>
      <c r="C167" s="54"/>
      <c r="D167" s="55"/>
      <c r="E167" s="5"/>
      <c r="F167" s="5"/>
      <c r="G167" s="5"/>
      <c r="H167" s="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 ht="15.75" customHeight="1">
      <c r="A168" s="54"/>
      <c r="B168" s="54"/>
      <c r="C168" s="54"/>
      <c r="D168" s="55"/>
      <c r="E168" s="5"/>
      <c r="F168" s="5"/>
      <c r="G168" s="5"/>
      <c r="H168" s="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</row>
    <row r="169" ht="15.75" customHeight="1">
      <c r="A169" s="54"/>
      <c r="B169" s="54"/>
      <c r="C169" s="54"/>
      <c r="D169" s="55"/>
      <c r="E169" s="5"/>
      <c r="F169" s="5"/>
      <c r="G169" s="5"/>
      <c r="H169" s="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</row>
    <row r="170" ht="15.75" customHeight="1">
      <c r="A170" s="54"/>
      <c r="B170" s="54"/>
      <c r="C170" s="54"/>
      <c r="D170" s="55"/>
      <c r="E170" s="5"/>
      <c r="F170" s="5"/>
      <c r="G170" s="5"/>
      <c r="H170" s="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</row>
    <row r="171" ht="15.75" customHeight="1">
      <c r="A171" s="54"/>
      <c r="B171" s="54"/>
      <c r="C171" s="54"/>
      <c r="D171" s="55"/>
      <c r="E171" s="5"/>
      <c r="F171" s="5"/>
      <c r="G171" s="5"/>
      <c r="H171" s="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</row>
    <row r="172" ht="15.75" customHeight="1">
      <c r="A172" s="54"/>
      <c r="B172" s="54"/>
      <c r="C172" s="54"/>
      <c r="D172" s="55"/>
      <c r="E172" s="5"/>
      <c r="F172" s="5"/>
      <c r="G172" s="5"/>
      <c r="H172" s="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</row>
    <row r="173" ht="15.75" customHeight="1">
      <c r="A173" s="54"/>
      <c r="B173" s="54"/>
      <c r="C173" s="54"/>
      <c r="D173" s="55"/>
      <c r="E173" s="5"/>
      <c r="F173" s="5"/>
      <c r="G173" s="5"/>
      <c r="H173" s="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</row>
    <row r="174" ht="15.75" customHeight="1">
      <c r="A174" s="54"/>
      <c r="B174" s="54"/>
      <c r="C174" s="54"/>
      <c r="D174" s="55"/>
      <c r="E174" s="5"/>
      <c r="F174" s="5"/>
      <c r="G174" s="5"/>
      <c r="H174" s="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</row>
    <row r="175" ht="15.75" customHeight="1">
      <c r="A175" s="54"/>
      <c r="B175" s="54"/>
      <c r="C175" s="54"/>
      <c r="D175" s="55"/>
      <c r="E175" s="5"/>
      <c r="F175" s="5"/>
      <c r="G175" s="5"/>
      <c r="H175" s="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</row>
    <row r="176" ht="15.75" customHeight="1">
      <c r="A176" s="54"/>
      <c r="B176" s="54"/>
      <c r="C176" s="54"/>
      <c r="D176" s="55"/>
      <c r="E176" s="5"/>
      <c r="F176" s="5"/>
      <c r="G176" s="5"/>
      <c r="H176" s="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</row>
    <row r="177" ht="15.75" customHeight="1">
      <c r="A177" s="54"/>
      <c r="B177" s="54"/>
      <c r="C177" s="54"/>
      <c r="D177" s="55"/>
      <c r="E177" s="5"/>
      <c r="F177" s="5"/>
      <c r="G177" s="5"/>
      <c r="H177" s="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</row>
    <row r="178" ht="15.75" customHeight="1">
      <c r="A178" s="54"/>
      <c r="B178" s="54"/>
      <c r="C178" s="54"/>
      <c r="D178" s="55"/>
      <c r="E178" s="5"/>
      <c r="F178" s="5"/>
      <c r="G178" s="5"/>
      <c r="H178" s="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 ht="15.75" customHeight="1">
      <c r="A179" s="54"/>
      <c r="B179" s="54"/>
      <c r="C179" s="54"/>
      <c r="D179" s="55"/>
      <c r="E179" s="5"/>
      <c r="F179" s="5"/>
      <c r="G179" s="5"/>
      <c r="H179" s="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</row>
    <row r="180" ht="15.75" customHeight="1">
      <c r="A180" s="54"/>
      <c r="B180" s="54"/>
      <c r="C180" s="54"/>
      <c r="D180" s="55"/>
      <c r="E180" s="5"/>
      <c r="F180" s="5"/>
      <c r="G180" s="5"/>
      <c r="H180" s="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</row>
    <row r="181" ht="15.75" customHeight="1">
      <c r="A181" s="54"/>
      <c r="B181" s="54"/>
      <c r="C181" s="54"/>
      <c r="D181" s="55"/>
      <c r="E181" s="5"/>
      <c r="F181" s="5"/>
      <c r="G181" s="5"/>
      <c r="H181" s="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</row>
    <row r="182" ht="15.75" customHeight="1">
      <c r="A182" s="54"/>
      <c r="B182" s="54"/>
      <c r="C182" s="54"/>
      <c r="D182" s="55"/>
      <c r="E182" s="5"/>
      <c r="F182" s="5"/>
      <c r="G182" s="5"/>
      <c r="H182" s="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 ht="15.75" customHeight="1">
      <c r="A183" s="54"/>
      <c r="B183" s="54"/>
      <c r="C183" s="54"/>
      <c r="D183" s="55"/>
      <c r="E183" s="5"/>
      <c r="F183" s="5"/>
      <c r="G183" s="5"/>
      <c r="H183" s="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</row>
    <row r="184" ht="15.75" customHeight="1">
      <c r="A184" s="54"/>
      <c r="B184" s="54"/>
      <c r="C184" s="54"/>
      <c r="D184" s="55"/>
      <c r="E184" s="5"/>
      <c r="F184" s="5"/>
      <c r="G184" s="5"/>
      <c r="H184" s="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</row>
    <row r="185" ht="15.75" customHeight="1">
      <c r="A185" s="54"/>
      <c r="B185" s="54"/>
      <c r="C185" s="54"/>
      <c r="D185" s="55"/>
      <c r="E185" s="5"/>
      <c r="F185" s="5"/>
      <c r="G185" s="5"/>
      <c r="H185" s="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</row>
    <row r="186" ht="15.75" customHeight="1">
      <c r="A186" s="54"/>
      <c r="B186" s="54"/>
      <c r="C186" s="54"/>
      <c r="D186" s="55"/>
      <c r="E186" s="5"/>
      <c r="F186" s="5"/>
      <c r="G186" s="5"/>
      <c r="H186" s="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</row>
    <row r="187" ht="15.75" customHeight="1">
      <c r="A187" s="54"/>
      <c r="B187" s="54"/>
      <c r="C187" s="54"/>
      <c r="D187" s="55"/>
      <c r="E187" s="5"/>
      <c r="F187" s="5"/>
      <c r="G187" s="5"/>
      <c r="H187" s="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</row>
    <row r="188" ht="15.75" customHeight="1">
      <c r="A188" s="54"/>
      <c r="B188" s="54"/>
      <c r="C188" s="54"/>
      <c r="D188" s="55"/>
      <c r="E188" s="5"/>
      <c r="F188" s="5"/>
      <c r="G188" s="5"/>
      <c r="H188" s="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</row>
    <row r="189" ht="15.75" customHeight="1">
      <c r="A189" s="54"/>
      <c r="B189" s="54"/>
      <c r="C189" s="54"/>
      <c r="D189" s="55"/>
      <c r="E189" s="5"/>
      <c r="F189" s="5"/>
      <c r="G189" s="5"/>
      <c r="H189" s="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</row>
    <row r="190" ht="15.75" customHeight="1">
      <c r="A190" s="54"/>
      <c r="B190" s="54"/>
      <c r="C190" s="54"/>
      <c r="D190" s="55"/>
      <c r="E190" s="5"/>
      <c r="F190" s="5"/>
      <c r="G190" s="5"/>
      <c r="H190" s="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</row>
    <row r="191" ht="15.75" customHeight="1">
      <c r="A191" s="54"/>
      <c r="B191" s="54"/>
      <c r="C191" s="54"/>
      <c r="D191" s="55"/>
      <c r="E191" s="5"/>
      <c r="F191" s="5"/>
      <c r="G191" s="5"/>
      <c r="H191" s="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 ht="15.75" customHeight="1">
      <c r="A192" s="54"/>
      <c r="B192" s="54"/>
      <c r="C192" s="54"/>
      <c r="D192" s="55"/>
      <c r="E192" s="5"/>
      <c r="F192" s="5"/>
      <c r="G192" s="5"/>
      <c r="H192" s="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</row>
    <row r="193" ht="15.75" customHeight="1">
      <c r="A193" s="54"/>
      <c r="B193" s="54"/>
      <c r="C193" s="54"/>
      <c r="D193" s="55"/>
      <c r="E193" s="5"/>
      <c r="F193" s="5"/>
      <c r="G193" s="5"/>
      <c r="H193" s="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</row>
    <row r="194" ht="15.75" customHeight="1">
      <c r="A194" s="54"/>
      <c r="B194" s="54"/>
      <c r="C194" s="54"/>
      <c r="D194" s="55"/>
      <c r="E194" s="5"/>
      <c r="F194" s="5"/>
      <c r="G194" s="5"/>
      <c r="H194" s="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</row>
    <row r="195" ht="15.75" customHeight="1">
      <c r="A195" s="54"/>
      <c r="B195" s="54"/>
      <c r="C195" s="54"/>
      <c r="D195" s="55"/>
      <c r="E195" s="5"/>
      <c r="F195" s="5"/>
      <c r="G195" s="5"/>
      <c r="H195" s="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</row>
    <row r="196" ht="15.75" customHeight="1">
      <c r="A196" s="54"/>
      <c r="B196" s="54"/>
      <c r="C196" s="54"/>
      <c r="D196" s="55"/>
      <c r="E196" s="5"/>
      <c r="F196" s="5"/>
      <c r="G196" s="5"/>
      <c r="H196" s="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 ht="15.75" customHeight="1">
      <c r="A197" s="54"/>
      <c r="B197" s="54"/>
      <c r="C197" s="54"/>
      <c r="D197" s="55"/>
      <c r="E197" s="5"/>
      <c r="F197" s="5"/>
      <c r="G197" s="5"/>
      <c r="H197" s="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</row>
    <row r="198" ht="15.75" customHeight="1">
      <c r="A198" s="54"/>
      <c r="B198" s="54"/>
      <c r="C198" s="54"/>
      <c r="D198" s="55"/>
      <c r="E198" s="5"/>
      <c r="F198" s="5"/>
      <c r="G198" s="5"/>
      <c r="H198" s="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</row>
    <row r="199" ht="15.75" customHeight="1">
      <c r="A199" s="54"/>
      <c r="B199" s="54"/>
      <c r="C199" s="54"/>
      <c r="D199" s="55"/>
      <c r="E199" s="5"/>
      <c r="F199" s="5"/>
      <c r="G199" s="5"/>
      <c r="H199" s="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</row>
    <row r="200" ht="15.75" customHeight="1">
      <c r="A200" s="54"/>
      <c r="B200" s="54"/>
      <c r="C200" s="54"/>
      <c r="D200" s="55"/>
      <c r="E200" s="5"/>
      <c r="F200" s="5"/>
      <c r="G200" s="5"/>
      <c r="H200" s="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</row>
    <row r="201" ht="15.75" customHeight="1">
      <c r="A201" s="54"/>
      <c r="B201" s="54"/>
      <c r="C201" s="54"/>
      <c r="D201" s="55"/>
      <c r="E201" s="5"/>
      <c r="F201" s="5"/>
      <c r="G201" s="5"/>
      <c r="H201" s="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</row>
    <row r="202" ht="15.75" customHeight="1">
      <c r="A202" s="54"/>
      <c r="B202" s="54"/>
      <c r="C202" s="54"/>
      <c r="D202" s="55"/>
      <c r="E202" s="5"/>
      <c r="F202" s="5"/>
      <c r="G202" s="5"/>
      <c r="H202" s="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</row>
    <row r="203" ht="15.75" customHeight="1">
      <c r="A203" s="54"/>
      <c r="B203" s="54"/>
      <c r="C203" s="54"/>
      <c r="D203" s="55"/>
      <c r="E203" s="5"/>
      <c r="F203" s="5"/>
      <c r="G203" s="5"/>
      <c r="H203" s="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</row>
    <row r="204" ht="15.75" customHeight="1">
      <c r="A204" s="54"/>
      <c r="B204" s="54"/>
      <c r="C204" s="54"/>
      <c r="D204" s="55"/>
      <c r="E204" s="5"/>
      <c r="F204" s="5"/>
      <c r="G204" s="5"/>
      <c r="H204" s="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</row>
    <row r="205" ht="15.75" customHeight="1">
      <c r="A205" s="54"/>
      <c r="B205" s="54"/>
      <c r="C205" s="54"/>
      <c r="D205" s="55"/>
      <c r="E205" s="5"/>
      <c r="F205" s="5"/>
      <c r="G205" s="5"/>
      <c r="H205" s="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</row>
    <row r="206" ht="15.75" customHeight="1">
      <c r="A206" s="54"/>
      <c r="B206" s="54"/>
      <c r="C206" s="54"/>
      <c r="D206" s="55"/>
      <c r="E206" s="5"/>
      <c r="F206" s="5"/>
      <c r="G206" s="5"/>
      <c r="H206" s="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</row>
    <row r="207" ht="15.75" customHeight="1">
      <c r="A207" s="54"/>
      <c r="B207" s="54"/>
      <c r="C207" s="54"/>
      <c r="D207" s="55"/>
      <c r="E207" s="5"/>
      <c r="F207" s="5"/>
      <c r="G207" s="5"/>
      <c r="H207" s="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</row>
    <row r="208" ht="15.75" customHeight="1">
      <c r="A208" s="54"/>
      <c r="B208" s="54"/>
      <c r="C208" s="54"/>
      <c r="D208" s="55"/>
      <c r="E208" s="5"/>
      <c r="F208" s="5"/>
      <c r="G208" s="5"/>
      <c r="H208" s="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</row>
    <row r="209" ht="15.75" customHeight="1">
      <c r="A209" s="54"/>
      <c r="B209" s="54"/>
      <c r="C209" s="54"/>
      <c r="D209" s="55"/>
      <c r="E209" s="5"/>
      <c r="F209" s="5"/>
      <c r="G209" s="5"/>
      <c r="H209" s="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</row>
    <row r="210" ht="15.75" customHeight="1">
      <c r="A210" s="54"/>
      <c r="B210" s="54"/>
      <c r="C210" s="54"/>
      <c r="D210" s="55"/>
      <c r="E210" s="5"/>
      <c r="F210" s="5"/>
      <c r="G210" s="5"/>
      <c r="H210" s="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</row>
    <row r="211" ht="15.75" customHeight="1">
      <c r="A211" s="54"/>
      <c r="B211" s="54"/>
      <c r="C211" s="54"/>
      <c r="D211" s="55"/>
      <c r="E211" s="5"/>
      <c r="F211" s="5"/>
      <c r="G211" s="5"/>
      <c r="H211" s="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</row>
    <row r="212" ht="15.75" customHeight="1">
      <c r="A212" s="54"/>
      <c r="B212" s="54"/>
      <c r="C212" s="54"/>
      <c r="D212" s="55"/>
      <c r="E212" s="5"/>
      <c r="F212" s="5"/>
      <c r="G212" s="5"/>
      <c r="H212" s="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</row>
    <row r="213" ht="15.75" customHeight="1">
      <c r="A213" s="54"/>
      <c r="B213" s="54"/>
      <c r="C213" s="54"/>
      <c r="D213" s="55"/>
      <c r="E213" s="5"/>
      <c r="F213" s="5"/>
      <c r="G213" s="5"/>
      <c r="H213" s="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</row>
    <row r="214" ht="15.75" customHeight="1">
      <c r="A214" s="54"/>
      <c r="B214" s="54"/>
      <c r="C214" s="54"/>
      <c r="D214" s="55"/>
      <c r="E214" s="5"/>
      <c r="F214" s="5"/>
      <c r="G214" s="5"/>
      <c r="H214" s="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</row>
    <row r="215" ht="15.75" customHeight="1">
      <c r="A215" s="54"/>
      <c r="B215" s="54"/>
      <c r="C215" s="54"/>
      <c r="D215" s="55"/>
      <c r="E215" s="5"/>
      <c r="F215" s="5"/>
      <c r="G215" s="5"/>
      <c r="H215" s="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</row>
    <row r="216" ht="15.75" customHeight="1">
      <c r="A216" s="54"/>
      <c r="B216" s="54"/>
      <c r="C216" s="54"/>
      <c r="D216" s="55"/>
      <c r="E216" s="5"/>
      <c r="F216" s="5"/>
      <c r="G216" s="5"/>
      <c r="H216" s="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</row>
    <row r="217" ht="15.75" customHeight="1">
      <c r="A217" s="54"/>
      <c r="B217" s="54"/>
      <c r="C217" s="54"/>
      <c r="D217" s="55"/>
      <c r="E217" s="5"/>
      <c r="F217" s="5"/>
      <c r="G217" s="5"/>
      <c r="H217" s="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</row>
    <row r="218" ht="15.75" customHeight="1">
      <c r="A218" s="54"/>
      <c r="B218" s="54"/>
      <c r="C218" s="54"/>
      <c r="D218" s="55"/>
      <c r="E218" s="5"/>
      <c r="F218" s="5"/>
      <c r="G218" s="5"/>
      <c r="H218" s="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</row>
    <row r="219" ht="15.75" customHeight="1">
      <c r="A219" s="54"/>
      <c r="B219" s="54"/>
      <c r="C219" s="54"/>
      <c r="D219" s="55"/>
      <c r="E219" s="5"/>
      <c r="F219" s="5"/>
      <c r="G219" s="5"/>
      <c r="H219" s="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</row>
    <row r="220" ht="15.75" customHeight="1">
      <c r="A220" s="54"/>
      <c r="B220" s="54"/>
      <c r="C220" s="54"/>
      <c r="D220" s="55"/>
      <c r="E220" s="5"/>
      <c r="F220" s="5"/>
      <c r="G220" s="5"/>
      <c r="H220" s="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</row>
    <row r="221" ht="15.75" customHeight="1">
      <c r="A221" s="54"/>
      <c r="B221" s="54"/>
      <c r="C221" s="54"/>
      <c r="D221" s="55"/>
      <c r="E221" s="5"/>
      <c r="F221" s="5"/>
      <c r="G221" s="5"/>
      <c r="H221" s="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D29:G29"/>
    <mergeCell ref="D30:G30"/>
    <mergeCell ref="D31:G31"/>
    <mergeCell ref="D32:G32"/>
    <mergeCell ref="D33:G33"/>
    <mergeCell ref="D34:G34"/>
    <mergeCell ref="D22:G22"/>
    <mergeCell ref="D23:G23"/>
    <mergeCell ref="D24:G24"/>
    <mergeCell ref="D25:G25"/>
    <mergeCell ref="D26:G26"/>
    <mergeCell ref="D27:G27"/>
    <mergeCell ref="D28:G28"/>
    <mergeCell ref="A4:B4"/>
    <mergeCell ref="A5:B5"/>
    <mergeCell ref="A6:B6"/>
    <mergeCell ref="C6:D6"/>
    <mergeCell ref="A1:G1"/>
    <mergeCell ref="A2:B2"/>
    <mergeCell ref="C2:D2"/>
    <mergeCell ref="G2:G5"/>
    <mergeCell ref="A3:B3"/>
    <mergeCell ref="C3:D3"/>
    <mergeCell ref="C4:D4"/>
    <mergeCell ref="D8:D10"/>
    <mergeCell ref="D11:D14"/>
    <mergeCell ref="A11:B11"/>
    <mergeCell ref="A12:B12"/>
    <mergeCell ref="A13:B13"/>
    <mergeCell ref="A14:B14"/>
    <mergeCell ref="C5:D5"/>
    <mergeCell ref="A7:G7"/>
    <mergeCell ref="A8:B8"/>
    <mergeCell ref="E8:G10"/>
    <mergeCell ref="A9:B9"/>
    <mergeCell ref="A10:B10"/>
    <mergeCell ref="E11:G14"/>
    <mergeCell ref="A15:G15"/>
    <mergeCell ref="D16:G16"/>
    <mergeCell ref="D17:G17"/>
    <mergeCell ref="D18:G18"/>
    <mergeCell ref="D19:G19"/>
    <mergeCell ref="D20:G20"/>
    <mergeCell ref="D21:G21"/>
  </mergeCells>
  <hyperlinks>
    <hyperlink r:id="rId1" ref="K28"/>
    <hyperlink r:id="rId2" ref="K29"/>
    <hyperlink r:id="rId3" ref="K31"/>
    <hyperlink r:id="rId4" ref="K32"/>
    <hyperlink r:id="rId5" ref="K33"/>
    <hyperlink r:id="rId6" ref="K34"/>
  </hyperlinks>
  <printOptions/>
  <pageMargins bottom="0.75" footer="0.0" header="0.0" left="0.7" right="0.7" top="0.75"/>
  <pageSetup orientation="landscape"/>
  <drawing r:id="rId7"/>
  <tableParts count="1"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1.71"/>
    <col customWidth="1" min="3" max="3" width="15.43"/>
    <col customWidth="1" min="4" max="4" width="26.14"/>
    <col customWidth="1" min="5" max="6" width="21.43"/>
    <col customWidth="1" min="7" max="7" width="31.0"/>
    <col customWidth="1" min="8" max="8" width="29.29"/>
    <col customWidth="1" min="9" max="9" width="26.43"/>
    <col customWidth="1" min="10" max="26" width="12.57"/>
  </cols>
  <sheetData>
    <row r="1" ht="43.5" customHeight="1">
      <c r="A1" s="56" t="s">
        <v>73</v>
      </c>
      <c r="B1" s="2"/>
      <c r="C1" s="2"/>
      <c r="D1" s="2"/>
      <c r="E1" s="2"/>
      <c r="F1" s="2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21.75" customHeight="1">
      <c r="A2" s="6" t="s">
        <v>1</v>
      </c>
      <c r="C2" s="57" t="s">
        <v>74</v>
      </c>
      <c r="E2" s="8"/>
      <c r="F2" s="9"/>
      <c r="G2" s="10" t="str">
        <f>IF(OR(NOW() &lt; C5,NOW() &gt; C6+1), "0",NETWORKDAYS(NOW(),C6))</f>
        <v>0</v>
      </c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1.75" customHeight="1">
      <c r="A3" s="6" t="s">
        <v>3</v>
      </c>
      <c r="C3" s="11" t="s">
        <v>75</v>
      </c>
      <c r="E3" s="12" t="s">
        <v>5</v>
      </c>
      <c r="F3" s="13" t="str">
        <f>NETWORKDAYS(C5,C6)&amp;" working days"</f>
        <v>10 working days</v>
      </c>
      <c r="G3" s="1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ht="21.75" customHeight="1">
      <c r="A4" s="6" t="s">
        <v>6</v>
      </c>
      <c r="C4" s="7" t="s">
        <v>47</v>
      </c>
      <c r="E4" s="12" t="s">
        <v>8</v>
      </c>
      <c r="F4" s="13" t="str">
        <f>COUNTA(A18:A95)&amp;" things"</f>
        <v>13 things</v>
      </c>
      <c r="G4" s="14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ht="21.75" customHeight="1">
      <c r="A5" s="15" t="s">
        <v>9</v>
      </c>
      <c r="C5" s="16">
        <v>45892.0</v>
      </c>
      <c r="E5" s="12" t="s">
        <v>10</v>
      </c>
      <c r="F5" s="13" t="str">
        <f>SUM(C18:C99)&amp;" points"</f>
        <v>49 points</v>
      </c>
      <c r="G5" s="17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ht="21.75" customHeight="1">
      <c r="A6" s="15" t="s">
        <v>11</v>
      </c>
      <c r="C6" s="16">
        <v>45905.0</v>
      </c>
      <c r="G6" s="18" t="s">
        <v>12</v>
      </c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ht="43.5" customHeight="1">
      <c r="A7" s="1" t="s">
        <v>13</v>
      </c>
      <c r="B7" s="2"/>
      <c r="C7" s="2"/>
      <c r="D7" s="2"/>
      <c r="E7" s="2"/>
      <c r="F7" s="2"/>
      <c r="G7" s="3"/>
      <c r="H7" s="4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22.5" customHeight="1">
      <c r="A8" s="19" t="s">
        <v>14</v>
      </c>
      <c r="B8" s="3"/>
      <c r="C8" s="13">
        <f>COUNTA(A17:A95)</f>
        <v>14</v>
      </c>
      <c r="D8" s="20" t="s">
        <v>15</v>
      </c>
      <c r="E8" s="21" t="s">
        <v>76</v>
      </c>
      <c r="H8" s="4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ht="22.5" customHeight="1">
      <c r="A9" s="19" t="s">
        <v>17</v>
      </c>
      <c r="B9" s="3"/>
      <c r="C9" s="59">
        <f>SUM(C17:C95)</f>
        <v>52</v>
      </c>
      <c r="H9" s="4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ht="22.5" customHeight="1">
      <c r="A10" s="22" t="s">
        <v>18</v>
      </c>
      <c r="B10" s="3"/>
      <c r="C10" s="23">
        <v>14.0</v>
      </c>
      <c r="H10" s="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ht="22.5" customHeight="1">
      <c r="A11" s="19" t="s">
        <v>19</v>
      </c>
      <c r="B11" s="3"/>
      <c r="C11" s="24">
        <v>0.0</v>
      </c>
      <c r="D11" s="20" t="s">
        <v>20</v>
      </c>
      <c r="E11" s="25" t="s">
        <v>21</v>
      </c>
      <c r="H11" s="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22.5" customHeight="1">
      <c r="A12" s="22" t="s">
        <v>22</v>
      </c>
      <c r="B12" s="3"/>
      <c r="C12" s="23">
        <v>52.0</v>
      </c>
      <c r="H12" s="4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ht="22.5" customHeight="1">
      <c r="A13" s="19" t="s">
        <v>23</v>
      </c>
      <c r="B13" s="3"/>
      <c r="C13" s="23">
        <v>0.0</v>
      </c>
      <c r="H13" s="4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22.5" customHeight="1">
      <c r="A14" s="26"/>
      <c r="B14" s="3"/>
      <c r="C14" s="27"/>
      <c r="H14" s="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ht="43.5" customHeight="1">
      <c r="A15" s="1" t="s">
        <v>24</v>
      </c>
      <c r="B15" s="2"/>
      <c r="C15" s="2"/>
      <c r="D15" s="2"/>
      <c r="E15" s="2"/>
      <c r="F15" s="2"/>
      <c r="G15" s="3"/>
      <c r="H15" s="4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ht="29.25" customHeight="1">
      <c r="A16" s="28" t="str">
        <f>"Things ("&amp;COUNTA(A17:A98)&amp;")"</f>
        <v>Things (14)</v>
      </c>
      <c r="B16" s="64" t="s">
        <v>25</v>
      </c>
      <c r="C16" s="28" t="str">
        <f>"Story Points ("&amp;SUM(C17:C98)&amp;")"</f>
        <v>Story Points (52)</v>
      </c>
      <c r="D16" s="6" t="s">
        <v>26</v>
      </c>
      <c r="H16" s="6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</row>
    <row r="17" ht="21.0" customHeight="1">
      <c r="A17" s="32" t="s">
        <v>77</v>
      </c>
      <c r="B17" s="31" t="s">
        <v>28</v>
      </c>
      <c r="C17" s="65">
        <v>3.0</v>
      </c>
      <c r="D17" s="41" t="s">
        <v>78</v>
      </c>
      <c r="E17" s="34"/>
      <c r="F17" s="34"/>
      <c r="G17" s="35"/>
      <c r="H17" s="36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ht="21.0" customHeight="1">
      <c r="A18" s="32" t="s">
        <v>79</v>
      </c>
      <c r="B18" s="31" t="s">
        <v>28</v>
      </c>
      <c r="C18" s="65">
        <v>4.0</v>
      </c>
      <c r="D18" s="41" t="s">
        <v>80</v>
      </c>
      <c r="E18" s="34"/>
      <c r="F18" s="34"/>
      <c r="G18" s="35"/>
      <c r="H18" s="37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ht="21.0" customHeight="1">
      <c r="A19" s="32" t="s">
        <v>81</v>
      </c>
      <c r="B19" s="31" t="s">
        <v>28</v>
      </c>
      <c r="C19" s="65">
        <v>3.0</v>
      </c>
      <c r="D19" s="41" t="s">
        <v>82</v>
      </c>
      <c r="E19" s="34"/>
      <c r="F19" s="34"/>
      <c r="G19" s="35"/>
      <c r="H19" s="37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ht="21.0" customHeight="1">
      <c r="A20" s="32" t="s">
        <v>83</v>
      </c>
      <c r="B20" s="31" t="s">
        <v>28</v>
      </c>
      <c r="C20" s="65">
        <v>3.0</v>
      </c>
      <c r="D20" s="42" t="s">
        <v>84</v>
      </c>
      <c r="E20" s="34"/>
      <c r="F20" s="34"/>
      <c r="G20" s="35"/>
      <c r="H20" s="37"/>
      <c r="I20" s="62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ht="21.0" customHeight="1">
      <c r="A21" s="32" t="s">
        <v>85</v>
      </c>
      <c r="B21" s="31" t="s">
        <v>28</v>
      </c>
      <c r="C21" s="65">
        <v>3.0</v>
      </c>
      <c r="D21" s="42" t="s">
        <v>86</v>
      </c>
      <c r="E21" s="34"/>
      <c r="F21" s="34"/>
      <c r="G21" s="35"/>
      <c r="H21" s="37"/>
      <c r="I21" s="63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ht="21.0" customHeight="1">
      <c r="A22" s="32" t="s">
        <v>87</v>
      </c>
      <c r="B22" s="31" t="s">
        <v>28</v>
      </c>
      <c r="C22" s="65">
        <v>5.0</v>
      </c>
      <c r="D22" s="42" t="s">
        <v>88</v>
      </c>
      <c r="E22" s="34"/>
      <c r="F22" s="34"/>
      <c r="G22" s="35"/>
      <c r="H22" s="36"/>
      <c r="I22" s="62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ht="21.0" customHeight="1">
      <c r="A23" s="32" t="s">
        <v>89</v>
      </c>
      <c r="B23" s="31" t="s">
        <v>28</v>
      </c>
      <c r="C23" s="65">
        <v>4.0</v>
      </c>
      <c r="D23" s="42" t="s">
        <v>90</v>
      </c>
      <c r="E23" s="34"/>
      <c r="F23" s="34"/>
      <c r="G23" s="35"/>
      <c r="H23" s="36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ht="21.0" customHeight="1">
      <c r="A24" s="32" t="s">
        <v>91</v>
      </c>
      <c r="B24" s="31" t="s">
        <v>28</v>
      </c>
      <c r="C24" s="65">
        <v>3.0</v>
      </c>
      <c r="D24" s="66" t="s">
        <v>92</v>
      </c>
      <c r="E24" s="66"/>
      <c r="F24" s="66"/>
      <c r="G24" s="66"/>
      <c r="H24" s="36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ht="21.0" customHeight="1">
      <c r="A25" s="32" t="s">
        <v>93</v>
      </c>
      <c r="B25" s="31" t="s">
        <v>28</v>
      </c>
      <c r="C25" s="65">
        <v>4.0</v>
      </c>
      <c r="D25" s="66" t="s">
        <v>94</v>
      </c>
      <c r="E25" s="66"/>
      <c r="F25" s="67"/>
      <c r="G25" s="67"/>
      <c r="H25" s="36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ht="21.0" customHeight="1">
      <c r="A26" s="32" t="s">
        <v>95</v>
      </c>
      <c r="B26" s="31" t="s">
        <v>28</v>
      </c>
      <c r="C26" s="65">
        <v>4.0</v>
      </c>
      <c r="D26" s="66" t="s">
        <v>96</v>
      </c>
      <c r="E26" s="66"/>
      <c r="F26" s="67"/>
      <c r="G26" s="67"/>
      <c r="H26" s="36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ht="21.0" customHeight="1">
      <c r="A27" s="32" t="s">
        <v>97</v>
      </c>
      <c r="B27" s="31" t="s">
        <v>28</v>
      </c>
      <c r="C27" s="65">
        <v>5.0</v>
      </c>
      <c r="D27" s="68" t="s">
        <v>98</v>
      </c>
      <c r="E27" s="68"/>
      <c r="F27" s="69"/>
      <c r="G27" s="69"/>
      <c r="H27" s="43"/>
      <c r="I27" s="43"/>
      <c r="K27" s="44"/>
      <c r="L27" s="5"/>
      <c r="M27" s="5"/>
      <c r="N27" s="5"/>
      <c r="O27" s="5"/>
      <c r="P27" s="5"/>
      <c r="Q27" s="5"/>
      <c r="R27" s="5"/>
      <c r="S27" s="5"/>
    </row>
    <row r="28" ht="21.0" customHeight="1">
      <c r="A28" s="32" t="s">
        <v>99</v>
      </c>
      <c r="B28" s="31" t="s">
        <v>28</v>
      </c>
      <c r="C28" s="70">
        <v>3.0</v>
      </c>
      <c r="D28" s="45" t="s">
        <v>100</v>
      </c>
      <c r="E28" s="49"/>
      <c r="F28" s="49"/>
      <c r="G28" s="43"/>
      <c r="H28" s="43"/>
      <c r="J28" s="46"/>
      <c r="K28" s="5"/>
      <c r="L28" s="5"/>
      <c r="M28" s="5"/>
      <c r="N28" s="5"/>
      <c r="O28" s="5"/>
      <c r="P28" s="5"/>
      <c r="Q28" s="5"/>
      <c r="R28" s="5"/>
    </row>
    <row r="29" ht="21.0" customHeight="1">
      <c r="A29" s="32" t="s">
        <v>101</v>
      </c>
      <c r="B29" s="31" t="s">
        <v>28</v>
      </c>
      <c r="C29" s="71">
        <v>4.0</v>
      </c>
      <c r="D29" s="45" t="s">
        <v>102</v>
      </c>
      <c r="E29" s="49"/>
      <c r="F29" s="49"/>
      <c r="G29" s="43"/>
      <c r="H29" s="43"/>
      <c r="J29" s="46"/>
      <c r="K29" s="5"/>
      <c r="L29" s="5"/>
      <c r="M29" s="5"/>
      <c r="N29" s="5"/>
      <c r="O29" s="5"/>
      <c r="P29" s="5"/>
      <c r="Q29" s="5"/>
      <c r="R29" s="5"/>
    </row>
    <row r="30" ht="21.0" customHeight="1">
      <c r="A30" s="71" t="s">
        <v>103</v>
      </c>
      <c r="B30" s="71" t="s">
        <v>28</v>
      </c>
      <c r="C30" s="71">
        <v>4.0</v>
      </c>
      <c r="D30" s="45" t="s">
        <v>104</v>
      </c>
      <c r="H30" s="43"/>
      <c r="I30" s="43"/>
      <c r="K30" s="47"/>
      <c r="L30" s="5"/>
      <c r="M30" s="5"/>
      <c r="N30" s="5"/>
      <c r="O30" s="5"/>
      <c r="P30" s="5"/>
      <c r="Q30" s="5"/>
      <c r="R30" s="5"/>
      <c r="S30" s="5"/>
    </row>
    <row r="31" ht="21.0" customHeight="1">
      <c r="A31" s="48"/>
      <c r="B31" s="48"/>
      <c r="C31" s="48"/>
      <c r="D31" s="49"/>
      <c r="H31" s="43"/>
      <c r="I31" s="43"/>
      <c r="K31" s="46"/>
      <c r="L31" s="5"/>
      <c r="M31" s="5"/>
      <c r="N31" s="5"/>
      <c r="O31" s="5"/>
      <c r="P31" s="5"/>
      <c r="Q31" s="5"/>
      <c r="R31" s="5"/>
      <c r="S31" s="5"/>
    </row>
    <row r="32" ht="21.0" customHeight="1">
      <c r="A32" s="48"/>
      <c r="B32" s="48"/>
      <c r="C32" s="48"/>
      <c r="D32" s="49"/>
      <c r="H32" s="43"/>
      <c r="I32" s="43"/>
      <c r="K32" s="46"/>
      <c r="L32" s="5"/>
      <c r="M32" s="5"/>
      <c r="N32" s="5"/>
      <c r="O32" s="5"/>
      <c r="P32" s="5"/>
      <c r="Q32" s="5"/>
      <c r="R32" s="5"/>
      <c r="S32" s="5"/>
    </row>
    <row r="33" ht="21.0" customHeight="1">
      <c r="A33" s="48"/>
      <c r="B33" s="48"/>
      <c r="C33" s="48"/>
      <c r="D33" s="49"/>
      <c r="H33" s="43"/>
      <c r="I33" s="43"/>
      <c r="K33" s="46"/>
      <c r="L33" s="5"/>
      <c r="M33" s="5"/>
      <c r="N33" s="5"/>
      <c r="O33" s="5"/>
      <c r="P33" s="5"/>
      <c r="Q33" s="5"/>
      <c r="R33" s="5"/>
      <c r="S33" s="5"/>
    </row>
    <row r="34" ht="21.0" customHeight="1">
      <c r="A34" s="72"/>
      <c r="B34" s="48"/>
      <c r="C34" s="48"/>
      <c r="D34" s="49"/>
      <c r="H34" s="43"/>
      <c r="I34" s="43"/>
      <c r="K34" s="46"/>
      <c r="L34" s="5"/>
      <c r="M34" s="5"/>
      <c r="N34" s="5"/>
      <c r="O34" s="5"/>
      <c r="P34" s="5"/>
      <c r="Q34" s="5"/>
      <c r="R34" s="5"/>
      <c r="S34" s="5"/>
    </row>
    <row r="35" ht="21.0" customHeight="1">
      <c r="A35" s="73"/>
      <c r="B35" s="51"/>
      <c r="C35" s="51"/>
      <c r="D35" s="51"/>
      <c r="E35" s="5"/>
      <c r="F35" s="5"/>
      <c r="G35" s="5"/>
      <c r="H35" s="4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ht="21.0" customHeight="1">
      <c r="A36" s="74"/>
      <c r="B36" s="51"/>
      <c r="C36" s="51"/>
      <c r="D36" s="51"/>
      <c r="E36" s="5"/>
      <c r="F36" s="5"/>
      <c r="G36" s="5"/>
      <c r="H36" s="4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ht="21.0" customHeight="1">
      <c r="A37" s="75"/>
      <c r="B37" s="51"/>
      <c r="C37" s="51"/>
      <c r="D37" s="51"/>
      <c r="E37" s="5"/>
      <c r="F37" s="5"/>
      <c r="G37" s="5"/>
      <c r="H37" s="4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ht="15.75" customHeight="1">
      <c r="A38" s="51"/>
      <c r="B38" s="51"/>
      <c r="C38" s="51"/>
      <c r="D38" s="51"/>
      <c r="E38" s="5"/>
      <c r="F38" s="5"/>
      <c r="G38" s="5"/>
      <c r="H38" s="4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ht="15.75" customHeight="1">
      <c r="A39" s="51"/>
      <c r="B39" s="51"/>
      <c r="C39" s="51"/>
      <c r="D39" s="51"/>
      <c r="E39" s="5"/>
      <c r="F39" s="5"/>
      <c r="G39" s="5"/>
      <c r="H39" s="4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ht="15.75" customHeight="1">
      <c r="A40" s="51"/>
      <c r="B40" s="51"/>
      <c r="C40" s="51"/>
      <c r="D40" s="51"/>
      <c r="E40" s="5"/>
      <c r="F40" s="5"/>
      <c r="G40" s="5"/>
      <c r="H40" s="4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ht="15.75" customHeight="1">
      <c r="A41" s="51"/>
      <c r="B41" s="51"/>
      <c r="C41" s="51"/>
      <c r="D41" s="51"/>
      <c r="E41" s="5"/>
      <c r="F41" s="5"/>
      <c r="G41" s="5"/>
      <c r="H41" s="4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ht="15.75" customHeight="1">
      <c r="A42" s="53"/>
      <c r="B42" s="53"/>
      <c r="C42" s="53"/>
      <c r="D42" s="53"/>
      <c r="E42" s="5"/>
      <c r="F42" s="5"/>
      <c r="G42" s="5"/>
      <c r="H42" s="4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ht="15.75" customHeight="1">
      <c r="A43" s="53"/>
      <c r="B43" s="53"/>
      <c r="C43" s="53"/>
      <c r="D43" s="53"/>
      <c r="E43" s="5"/>
      <c r="F43" s="5"/>
      <c r="G43" s="5"/>
      <c r="H43" s="4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ht="15.75" customHeight="1">
      <c r="A44" s="53"/>
      <c r="B44" s="53"/>
      <c r="C44" s="53"/>
      <c r="D44" s="53"/>
      <c r="E44" s="5"/>
      <c r="F44" s="5"/>
      <c r="G44" s="5"/>
      <c r="H44" s="4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ht="15.75" customHeight="1">
      <c r="A45" s="53"/>
      <c r="B45" s="53"/>
      <c r="C45" s="53"/>
      <c r="D45" s="53"/>
      <c r="E45" s="5"/>
      <c r="F45" s="5"/>
      <c r="G45" s="5"/>
      <c r="H45" s="4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ht="15.75" customHeight="1">
      <c r="A46" s="53"/>
      <c r="B46" s="53"/>
      <c r="C46" s="53"/>
      <c r="D46" s="53"/>
      <c r="E46" s="5"/>
      <c r="F46" s="5"/>
      <c r="G46" s="5"/>
      <c r="H46" s="4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ht="15.75" customHeight="1">
      <c r="A47" s="54"/>
      <c r="B47" s="54"/>
      <c r="C47" s="54"/>
      <c r="D47" s="55"/>
      <c r="E47" s="5"/>
      <c r="F47" s="5"/>
      <c r="G47" s="5"/>
      <c r="H47" s="4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ht="15.75" customHeight="1">
      <c r="A48" s="54"/>
      <c r="B48" s="54"/>
      <c r="C48" s="54"/>
      <c r="D48" s="55"/>
      <c r="E48" s="5"/>
      <c r="F48" s="5"/>
      <c r="G48" s="5"/>
      <c r="H48" s="4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ht="15.75" customHeight="1">
      <c r="A49" s="54"/>
      <c r="B49" s="54"/>
      <c r="C49" s="54"/>
      <c r="D49" s="55"/>
      <c r="E49" s="5"/>
      <c r="F49" s="5"/>
      <c r="G49" s="5"/>
      <c r="H49" s="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ht="15.75" customHeight="1">
      <c r="A50" s="54"/>
      <c r="B50" s="54"/>
      <c r="C50" s="54"/>
      <c r="D50" s="55"/>
      <c r="E50" s="5"/>
      <c r="F50" s="5"/>
      <c r="G50" s="5"/>
      <c r="H50" s="4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ht="15.75" customHeight="1">
      <c r="A51" s="54"/>
      <c r="B51" s="54"/>
      <c r="C51" s="54"/>
      <c r="D51" s="55"/>
      <c r="E51" s="5"/>
      <c r="F51" s="5"/>
      <c r="G51" s="5"/>
      <c r="H51" s="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ht="15.75" customHeight="1">
      <c r="A52" s="54"/>
      <c r="B52" s="54"/>
      <c r="C52" s="54"/>
      <c r="D52" s="55"/>
      <c r="E52" s="5"/>
      <c r="F52" s="5"/>
      <c r="G52" s="5"/>
      <c r="H52" s="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ht="15.75" customHeight="1">
      <c r="A53" s="54"/>
      <c r="B53" s="54"/>
      <c r="C53" s="54"/>
      <c r="D53" s="55"/>
      <c r="E53" s="5"/>
      <c r="F53" s="5"/>
      <c r="G53" s="5"/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ht="15.75" customHeight="1">
      <c r="A54" s="54"/>
      <c r="B54" s="54"/>
      <c r="C54" s="54"/>
      <c r="D54" s="55"/>
      <c r="E54" s="5"/>
      <c r="F54" s="5"/>
      <c r="G54" s="5"/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ht="15.75" customHeight="1">
      <c r="A55" s="54"/>
      <c r="B55" s="54"/>
      <c r="C55" s="54"/>
      <c r="D55" s="55"/>
      <c r="E55" s="5"/>
      <c r="F55" s="5"/>
      <c r="G55" s="5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ht="15.75" customHeight="1">
      <c r="A56" s="54"/>
      <c r="B56" s="54"/>
      <c r="C56" s="54"/>
      <c r="D56" s="55"/>
      <c r="E56" s="5"/>
      <c r="F56" s="5"/>
      <c r="G56" s="5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ht="15.75" customHeight="1">
      <c r="A57" s="54"/>
      <c r="B57" s="54"/>
      <c r="C57" s="54"/>
      <c r="D57" s="55"/>
      <c r="E57" s="5"/>
      <c r="F57" s="5"/>
      <c r="G57" s="5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ht="15.75" customHeight="1">
      <c r="A58" s="54"/>
      <c r="B58" s="54"/>
      <c r="C58" s="54"/>
      <c r="D58" s="55"/>
      <c r="E58" s="5"/>
      <c r="F58" s="5"/>
      <c r="G58" s="5"/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ht="15.75" customHeight="1">
      <c r="A59" s="54"/>
      <c r="B59" s="54"/>
      <c r="C59" s="54"/>
      <c r="D59" s="55"/>
      <c r="E59" s="5"/>
      <c r="F59" s="5"/>
      <c r="G59" s="5"/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ht="15.75" customHeight="1">
      <c r="A60" s="54"/>
      <c r="B60" s="54"/>
      <c r="C60" s="54"/>
      <c r="D60" s="55"/>
      <c r="E60" s="5"/>
      <c r="F60" s="5"/>
      <c r="G60" s="5"/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ht="15.75" customHeight="1">
      <c r="A61" s="54"/>
      <c r="B61" s="54"/>
      <c r="C61" s="54"/>
      <c r="D61" s="55"/>
      <c r="E61" s="5"/>
      <c r="F61" s="5"/>
      <c r="G61" s="5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ht="15.75" customHeight="1">
      <c r="A62" s="54"/>
      <c r="B62" s="54"/>
      <c r="C62" s="54"/>
      <c r="D62" s="55"/>
      <c r="E62" s="5"/>
      <c r="F62" s="5"/>
      <c r="G62" s="5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ht="15.75" customHeight="1">
      <c r="A63" s="54"/>
      <c r="B63" s="54"/>
      <c r="C63" s="54"/>
      <c r="D63" s="55"/>
      <c r="E63" s="5"/>
      <c r="F63" s="5"/>
      <c r="G63" s="5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 ht="15.75" customHeight="1">
      <c r="A64" s="54"/>
      <c r="B64" s="54"/>
      <c r="C64" s="54"/>
      <c r="D64" s="55"/>
      <c r="E64" s="5"/>
      <c r="F64" s="5"/>
      <c r="G64" s="5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ht="15.75" customHeight="1">
      <c r="A65" s="54"/>
      <c r="B65" s="54"/>
      <c r="C65" s="54"/>
      <c r="D65" s="55"/>
      <c r="E65" s="5"/>
      <c r="F65" s="5"/>
      <c r="G65" s="5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 ht="15.75" customHeight="1">
      <c r="A66" s="54"/>
      <c r="B66" s="54"/>
      <c r="C66" s="54"/>
      <c r="D66" s="55"/>
      <c r="E66" s="5"/>
      <c r="F66" s="5"/>
      <c r="G66" s="5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 ht="15.75" customHeight="1">
      <c r="A67" s="54"/>
      <c r="B67" s="54"/>
      <c r="C67" s="54"/>
      <c r="D67" s="55"/>
      <c r="E67" s="5"/>
      <c r="F67" s="5"/>
      <c r="G67" s="5"/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 ht="15.75" customHeight="1">
      <c r="A68" s="54"/>
      <c r="B68" s="54"/>
      <c r="C68" s="54"/>
      <c r="D68" s="55"/>
      <c r="E68" s="5"/>
      <c r="F68" s="5"/>
      <c r="G68" s="5"/>
      <c r="H68" s="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 ht="15.75" customHeight="1">
      <c r="A69" s="54"/>
      <c r="B69" s="54"/>
      <c r="C69" s="54"/>
      <c r="D69" s="55"/>
      <c r="E69" s="5"/>
      <c r="F69" s="5"/>
      <c r="G69" s="5"/>
      <c r="H69" s="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ht="15.75" customHeight="1">
      <c r="A70" s="54"/>
      <c r="B70" s="54"/>
      <c r="C70" s="54"/>
      <c r="D70" s="55"/>
      <c r="E70" s="5"/>
      <c r="F70" s="5"/>
      <c r="G70" s="5"/>
      <c r="H70" s="4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 ht="15.75" customHeight="1">
      <c r="A71" s="54"/>
      <c r="B71" s="54"/>
      <c r="C71" s="54"/>
      <c r="D71" s="55"/>
      <c r="E71" s="5"/>
      <c r="F71" s="5"/>
      <c r="G71" s="5"/>
      <c r="H71" s="4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 ht="15.75" customHeight="1">
      <c r="A72" s="54"/>
      <c r="B72" s="54"/>
      <c r="C72" s="54"/>
      <c r="D72" s="55"/>
      <c r="E72" s="5"/>
      <c r="F72" s="5"/>
      <c r="G72" s="5"/>
      <c r="H72" s="4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 ht="15.75" customHeight="1">
      <c r="A73" s="54"/>
      <c r="B73" s="54"/>
      <c r="C73" s="54"/>
      <c r="D73" s="55"/>
      <c r="E73" s="5"/>
      <c r="F73" s="5"/>
      <c r="G73" s="5"/>
      <c r="H73" s="4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 ht="15.75" customHeight="1">
      <c r="A74" s="54"/>
      <c r="B74" s="54"/>
      <c r="C74" s="54"/>
      <c r="D74" s="55"/>
      <c r="E74" s="5"/>
      <c r="F74" s="5"/>
      <c r="G74" s="5"/>
      <c r="H74" s="4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ht="15.75" customHeight="1">
      <c r="A75" s="54"/>
      <c r="B75" s="54"/>
      <c r="C75" s="54"/>
      <c r="D75" s="55"/>
      <c r="E75" s="5"/>
      <c r="F75" s="5"/>
      <c r="G75" s="5"/>
      <c r="H75" s="4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 ht="15.75" customHeight="1">
      <c r="A76" s="54"/>
      <c r="B76" s="54"/>
      <c r="C76" s="54"/>
      <c r="D76" s="55"/>
      <c r="E76" s="5"/>
      <c r="F76" s="5"/>
      <c r="G76" s="5"/>
      <c r="H76" s="4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ht="15.75" customHeight="1">
      <c r="A77" s="54"/>
      <c r="B77" s="54"/>
      <c r="C77" s="54"/>
      <c r="D77" s="55"/>
      <c r="E77" s="5"/>
      <c r="F77" s="5"/>
      <c r="G77" s="5"/>
      <c r="H77" s="4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ht="15.75" customHeight="1">
      <c r="A78" s="54"/>
      <c r="B78" s="54"/>
      <c r="C78" s="54"/>
      <c r="D78" s="55"/>
      <c r="E78" s="5"/>
      <c r="F78" s="5"/>
      <c r="G78" s="5"/>
      <c r="H78" s="4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ht="15.75" customHeight="1">
      <c r="A79" s="54"/>
      <c r="B79" s="54"/>
      <c r="C79" s="54"/>
      <c r="D79" s="55"/>
      <c r="E79" s="5"/>
      <c r="F79" s="5"/>
      <c r="G79" s="5"/>
      <c r="H79" s="4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ht="15.75" customHeight="1">
      <c r="A80" s="54"/>
      <c r="B80" s="54"/>
      <c r="C80" s="54"/>
      <c r="D80" s="55"/>
      <c r="E80" s="5"/>
      <c r="F80" s="5"/>
      <c r="G80" s="5"/>
      <c r="H80" s="4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ht="15.75" customHeight="1">
      <c r="A81" s="54"/>
      <c r="B81" s="54"/>
      <c r="C81" s="54"/>
      <c r="D81" s="55"/>
      <c r="E81" s="5"/>
      <c r="F81" s="5"/>
      <c r="G81" s="5"/>
      <c r="H81" s="4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ht="15.75" customHeight="1">
      <c r="A82" s="54"/>
      <c r="B82" s="54"/>
      <c r="C82" s="54"/>
      <c r="D82" s="55"/>
      <c r="E82" s="5"/>
      <c r="F82" s="5"/>
      <c r="G82" s="5"/>
      <c r="H82" s="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ht="15.75" customHeight="1">
      <c r="A83" s="54"/>
      <c r="B83" s="54"/>
      <c r="C83" s="54"/>
      <c r="D83" s="55"/>
      <c r="E83" s="5"/>
      <c r="F83" s="5"/>
      <c r="G83" s="5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 ht="15.75" customHeight="1">
      <c r="A84" s="54"/>
      <c r="B84" s="54"/>
      <c r="C84" s="54"/>
      <c r="D84" s="55"/>
      <c r="E84" s="5"/>
      <c r="F84" s="5"/>
      <c r="G84" s="5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ht="15.75" customHeight="1">
      <c r="A85" s="54"/>
      <c r="B85" s="54"/>
      <c r="C85" s="54"/>
      <c r="D85" s="55"/>
      <c r="E85" s="5"/>
      <c r="F85" s="5"/>
      <c r="G85" s="5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ht="15.75" customHeight="1">
      <c r="A86" s="54"/>
      <c r="B86" s="54"/>
      <c r="C86" s="54"/>
      <c r="D86" s="55"/>
      <c r="E86" s="5"/>
      <c r="F86" s="5"/>
      <c r="G86" s="5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ht="15.75" customHeight="1">
      <c r="A87" s="54"/>
      <c r="B87" s="54"/>
      <c r="C87" s="54"/>
      <c r="D87" s="55"/>
      <c r="E87" s="5"/>
      <c r="F87" s="5"/>
      <c r="G87" s="5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ht="15.75" customHeight="1">
      <c r="A88" s="54"/>
      <c r="B88" s="54"/>
      <c r="C88" s="54"/>
      <c r="D88" s="55"/>
      <c r="E88" s="5"/>
      <c r="F88" s="5"/>
      <c r="G88" s="5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ht="15.75" customHeight="1">
      <c r="A89" s="54"/>
      <c r="B89" s="54"/>
      <c r="C89" s="54"/>
      <c r="D89" s="55"/>
      <c r="E89" s="5"/>
      <c r="F89" s="5"/>
      <c r="G89" s="5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ht="15.75" customHeight="1">
      <c r="A90" s="54"/>
      <c r="B90" s="54"/>
      <c r="C90" s="54"/>
      <c r="D90" s="55"/>
      <c r="E90" s="5"/>
      <c r="F90" s="5"/>
      <c r="G90" s="5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ht="15.75" customHeight="1">
      <c r="A91" s="54"/>
      <c r="B91" s="54"/>
      <c r="C91" s="54"/>
      <c r="D91" s="55"/>
      <c r="E91" s="5"/>
      <c r="F91" s="5"/>
      <c r="G91" s="5"/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ht="15.75" customHeight="1">
      <c r="A92" s="54"/>
      <c r="B92" s="54"/>
      <c r="C92" s="54"/>
      <c r="D92" s="55"/>
      <c r="E92" s="5"/>
      <c r="F92" s="5"/>
      <c r="G92" s="5"/>
      <c r="H92" s="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ht="15.75" customHeight="1">
      <c r="A93" s="54"/>
      <c r="B93" s="54"/>
      <c r="C93" s="54"/>
      <c r="D93" s="55"/>
      <c r="E93" s="5"/>
      <c r="F93" s="5"/>
      <c r="G93" s="5"/>
      <c r="H93" s="4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ht="15.75" customHeight="1">
      <c r="A94" s="54"/>
      <c r="B94" s="54"/>
      <c r="C94" s="54"/>
      <c r="D94" s="55"/>
      <c r="E94" s="5"/>
      <c r="F94" s="5"/>
      <c r="G94" s="5"/>
      <c r="H94" s="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ht="15.75" customHeight="1">
      <c r="A95" s="54"/>
      <c r="B95" s="54"/>
      <c r="C95" s="54"/>
      <c r="D95" s="55"/>
      <c r="E95" s="5"/>
      <c r="F95" s="5"/>
      <c r="G95" s="5"/>
      <c r="H95" s="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 ht="15.75" customHeight="1">
      <c r="A96" s="54"/>
      <c r="B96" s="54"/>
      <c r="C96" s="54"/>
      <c r="D96" s="55"/>
      <c r="E96" s="5"/>
      <c r="F96" s="5"/>
      <c r="G96" s="5"/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ht="15.75" customHeight="1">
      <c r="A97" s="54"/>
      <c r="B97" s="54"/>
      <c r="C97" s="54"/>
      <c r="D97" s="55"/>
      <c r="E97" s="5"/>
      <c r="F97" s="5"/>
      <c r="G97" s="5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ht="15.75" customHeight="1">
      <c r="A98" s="54"/>
      <c r="B98" s="54"/>
      <c r="C98" s="54"/>
      <c r="D98" s="55"/>
      <c r="E98" s="5"/>
      <c r="F98" s="5"/>
      <c r="G98" s="5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ht="15.75" customHeight="1">
      <c r="A99" s="54"/>
      <c r="B99" s="54"/>
      <c r="C99" s="54"/>
      <c r="D99" s="55"/>
      <c r="E99" s="5"/>
      <c r="F99" s="5"/>
      <c r="G99" s="5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ht="15.75" customHeight="1">
      <c r="A100" s="54"/>
      <c r="B100" s="54"/>
      <c r="C100" s="54"/>
      <c r="D100" s="55"/>
      <c r="E100" s="5"/>
      <c r="F100" s="5"/>
      <c r="G100" s="5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ht="15.75" customHeight="1">
      <c r="A101" s="54"/>
      <c r="B101" s="54"/>
      <c r="C101" s="54"/>
      <c r="D101" s="55"/>
      <c r="E101" s="5"/>
      <c r="F101" s="5"/>
      <c r="G101" s="5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ht="15.75" customHeight="1">
      <c r="A102" s="54"/>
      <c r="B102" s="54"/>
      <c r="C102" s="54"/>
      <c r="D102" s="55"/>
      <c r="E102" s="5"/>
      <c r="F102" s="5"/>
      <c r="G102" s="5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ht="15.75" customHeight="1">
      <c r="A103" s="54"/>
      <c r="B103" s="54"/>
      <c r="C103" s="54"/>
      <c r="D103" s="55"/>
      <c r="E103" s="5"/>
      <c r="F103" s="5"/>
      <c r="G103" s="5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ht="15.75" customHeight="1">
      <c r="A104" s="54"/>
      <c r="B104" s="54"/>
      <c r="C104" s="54"/>
      <c r="D104" s="55"/>
      <c r="E104" s="5"/>
      <c r="F104" s="5"/>
      <c r="G104" s="5"/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ht="15.75" customHeight="1">
      <c r="A105" s="54"/>
      <c r="B105" s="54"/>
      <c r="C105" s="54"/>
      <c r="D105" s="55"/>
      <c r="E105" s="5"/>
      <c r="F105" s="5"/>
      <c r="G105" s="5"/>
      <c r="H105" s="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ht="15.75" customHeight="1">
      <c r="A106" s="54"/>
      <c r="B106" s="54"/>
      <c r="C106" s="54"/>
      <c r="D106" s="55"/>
      <c r="E106" s="5"/>
      <c r="F106" s="5"/>
      <c r="G106" s="5"/>
      <c r="H106" s="4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ht="15.75" customHeight="1">
      <c r="A107" s="54"/>
      <c r="B107" s="54"/>
      <c r="C107" s="54"/>
      <c r="D107" s="55"/>
      <c r="E107" s="5"/>
      <c r="F107" s="5"/>
      <c r="G107" s="5"/>
      <c r="H107" s="4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ht="15.75" customHeight="1">
      <c r="A108" s="54"/>
      <c r="B108" s="54"/>
      <c r="C108" s="54"/>
      <c r="D108" s="55"/>
      <c r="E108" s="5"/>
      <c r="F108" s="5"/>
      <c r="G108" s="5"/>
      <c r="H108" s="4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ht="15.75" customHeight="1">
      <c r="A109" s="54"/>
      <c r="B109" s="54"/>
      <c r="C109" s="54"/>
      <c r="D109" s="55"/>
      <c r="E109" s="5"/>
      <c r="F109" s="5"/>
      <c r="G109" s="5"/>
      <c r="H109" s="4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ht="15.75" customHeight="1">
      <c r="A110" s="54"/>
      <c r="B110" s="54"/>
      <c r="C110" s="54"/>
      <c r="D110" s="55"/>
      <c r="E110" s="5"/>
      <c r="F110" s="5"/>
      <c r="G110" s="5"/>
      <c r="H110" s="4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ht="15.75" customHeight="1">
      <c r="A111" s="54"/>
      <c r="B111" s="54"/>
      <c r="C111" s="54"/>
      <c r="D111" s="55"/>
      <c r="E111" s="5"/>
      <c r="F111" s="5"/>
      <c r="G111" s="5"/>
      <c r="H111" s="4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ht="15.75" customHeight="1">
      <c r="A112" s="54"/>
      <c r="B112" s="54"/>
      <c r="C112" s="54"/>
      <c r="D112" s="55"/>
      <c r="E112" s="5"/>
      <c r="F112" s="5"/>
      <c r="G112" s="5"/>
      <c r="H112" s="4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ht="15.75" customHeight="1">
      <c r="A113" s="54"/>
      <c r="B113" s="54"/>
      <c r="C113" s="54"/>
      <c r="D113" s="55"/>
      <c r="E113" s="5"/>
      <c r="F113" s="5"/>
      <c r="G113" s="5"/>
      <c r="H113" s="4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ht="15.75" customHeight="1">
      <c r="A114" s="54"/>
      <c r="B114" s="54"/>
      <c r="C114" s="54"/>
      <c r="D114" s="55"/>
      <c r="E114" s="5"/>
      <c r="F114" s="5"/>
      <c r="G114" s="5"/>
      <c r="H114" s="4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ht="15.75" customHeight="1">
      <c r="A115" s="54"/>
      <c r="B115" s="54"/>
      <c r="C115" s="54"/>
      <c r="D115" s="55"/>
      <c r="E115" s="5"/>
      <c r="F115" s="5"/>
      <c r="G115" s="5"/>
      <c r="H115" s="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ht="15.75" customHeight="1">
      <c r="A116" s="54"/>
      <c r="B116" s="54"/>
      <c r="C116" s="54"/>
      <c r="D116" s="55"/>
      <c r="E116" s="5"/>
      <c r="F116" s="5"/>
      <c r="G116" s="5"/>
      <c r="H116" s="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ht="15.75" customHeight="1">
      <c r="A117" s="54"/>
      <c r="B117" s="54"/>
      <c r="C117" s="54"/>
      <c r="D117" s="55"/>
      <c r="E117" s="5"/>
      <c r="F117" s="5"/>
      <c r="G117" s="5"/>
      <c r="H117" s="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ht="15.75" customHeight="1">
      <c r="A118" s="54"/>
      <c r="B118" s="54"/>
      <c r="C118" s="54"/>
      <c r="D118" s="55"/>
      <c r="E118" s="5"/>
      <c r="F118" s="5"/>
      <c r="G118" s="5"/>
      <c r="H118" s="4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ht="15.75" customHeight="1">
      <c r="A119" s="54"/>
      <c r="B119" s="54"/>
      <c r="C119" s="54"/>
      <c r="D119" s="55"/>
      <c r="E119" s="5"/>
      <c r="F119" s="5"/>
      <c r="G119" s="5"/>
      <c r="H119" s="4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ht="15.75" customHeight="1">
      <c r="A120" s="54"/>
      <c r="B120" s="54"/>
      <c r="C120" s="54"/>
      <c r="D120" s="55"/>
      <c r="E120" s="5"/>
      <c r="F120" s="5"/>
      <c r="G120" s="5"/>
      <c r="H120" s="4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ht="15.75" customHeight="1">
      <c r="A121" s="54"/>
      <c r="B121" s="54"/>
      <c r="C121" s="54"/>
      <c r="D121" s="55"/>
      <c r="E121" s="5"/>
      <c r="F121" s="5"/>
      <c r="G121" s="5"/>
      <c r="H121" s="4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ht="15.75" customHeight="1">
      <c r="A122" s="54"/>
      <c r="B122" s="54"/>
      <c r="C122" s="54"/>
      <c r="D122" s="55"/>
      <c r="E122" s="5"/>
      <c r="F122" s="5"/>
      <c r="G122" s="5"/>
      <c r="H122" s="4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ht="15.75" customHeight="1">
      <c r="A123" s="54"/>
      <c r="B123" s="54"/>
      <c r="C123" s="54"/>
      <c r="D123" s="55"/>
      <c r="E123" s="5"/>
      <c r="F123" s="5"/>
      <c r="G123" s="5"/>
      <c r="H123" s="4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ht="15.75" customHeight="1">
      <c r="A124" s="54"/>
      <c r="B124" s="54"/>
      <c r="C124" s="54"/>
      <c r="D124" s="55"/>
      <c r="E124" s="5"/>
      <c r="F124" s="5"/>
      <c r="G124" s="5"/>
      <c r="H124" s="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 ht="15.75" customHeight="1">
      <c r="A125" s="54"/>
      <c r="B125" s="54"/>
      <c r="C125" s="54"/>
      <c r="D125" s="55"/>
      <c r="E125" s="5"/>
      <c r="F125" s="5"/>
      <c r="G125" s="5"/>
      <c r="H125" s="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ht="15.75" customHeight="1">
      <c r="A126" s="54"/>
      <c r="B126" s="54"/>
      <c r="C126" s="54"/>
      <c r="D126" s="55"/>
      <c r="E126" s="5"/>
      <c r="F126" s="5"/>
      <c r="G126" s="5"/>
      <c r="H126" s="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ht="15.75" customHeight="1">
      <c r="A127" s="54"/>
      <c r="B127" s="54"/>
      <c r="C127" s="54"/>
      <c r="D127" s="55"/>
      <c r="E127" s="5"/>
      <c r="F127" s="5"/>
      <c r="G127" s="5"/>
      <c r="H127" s="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ht="15.75" customHeight="1">
      <c r="A128" s="54"/>
      <c r="B128" s="54"/>
      <c r="C128" s="54"/>
      <c r="D128" s="55"/>
      <c r="E128" s="5"/>
      <c r="F128" s="5"/>
      <c r="G128" s="5"/>
      <c r="H128" s="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ht="15.75" customHeight="1">
      <c r="A129" s="54"/>
      <c r="B129" s="54"/>
      <c r="C129" s="54"/>
      <c r="D129" s="55"/>
      <c r="E129" s="5"/>
      <c r="F129" s="5"/>
      <c r="G129" s="5"/>
      <c r="H129" s="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ht="15.75" customHeight="1">
      <c r="A130" s="54"/>
      <c r="B130" s="54"/>
      <c r="C130" s="54"/>
      <c r="D130" s="55"/>
      <c r="E130" s="5"/>
      <c r="F130" s="5"/>
      <c r="G130" s="5"/>
      <c r="H130" s="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ht="15.75" customHeight="1">
      <c r="A131" s="54"/>
      <c r="B131" s="54"/>
      <c r="C131" s="54"/>
      <c r="D131" s="55"/>
      <c r="E131" s="5"/>
      <c r="F131" s="5"/>
      <c r="G131" s="5"/>
      <c r="H131" s="4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ht="15.75" customHeight="1">
      <c r="A132" s="54"/>
      <c r="B132" s="54"/>
      <c r="C132" s="54"/>
      <c r="D132" s="55"/>
      <c r="E132" s="5"/>
      <c r="F132" s="5"/>
      <c r="G132" s="5"/>
      <c r="H132" s="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ht="15.75" customHeight="1">
      <c r="A133" s="54"/>
      <c r="B133" s="54"/>
      <c r="C133" s="54"/>
      <c r="D133" s="55"/>
      <c r="E133" s="5"/>
      <c r="F133" s="5"/>
      <c r="G133" s="5"/>
      <c r="H133" s="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ht="15.75" customHeight="1">
      <c r="A134" s="54"/>
      <c r="B134" s="54"/>
      <c r="C134" s="54"/>
      <c r="D134" s="55"/>
      <c r="E134" s="5"/>
      <c r="F134" s="5"/>
      <c r="G134" s="5"/>
      <c r="H134" s="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ht="15.75" customHeight="1">
      <c r="A135" s="54"/>
      <c r="B135" s="54"/>
      <c r="C135" s="54"/>
      <c r="D135" s="55"/>
      <c r="E135" s="5"/>
      <c r="F135" s="5"/>
      <c r="G135" s="5"/>
      <c r="H135" s="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 ht="15.75" customHeight="1">
      <c r="A136" s="54"/>
      <c r="B136" s="54"/>
      <c r="C136" s="54"/>
      <c r="D136" s="55"/>
      <c r="E136" s="5"/>
      <c r="F136" s="5"/>
      <c r="G136" s="5"/>
      <c r="H136" s="4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 ht="15.75" customHeight="1">
      <c r="A137" s="54"/>
      <c r="B137" s="54"/>
      <c r="C137" s="54"/>
      <c r="D137" s="55"/>
      <c r="E137" s="5"/>
      <c r="F137" s="5"/>
      <c r="G137" s="5"/>
      <c r="H137" s="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 ht="15.75" customHeight="1">
      <c r="A138" s="54"/>
      <c r="B138" s="54"/>
      <c r="C138" s="54"/>
      <c r="D138" s="55"/>
      <c r="E138" s="5"/>
      <c r="F138" s="5"/>
      <c r="G138" s="5"/>
      <c r="H138" s="4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 ht="15.75" customHeight="1">
      <c r="A139" s="54"/>
      <c r="B139" s="54"/>
      <c r="C139" s="54"/>
      <c r="D139" s="55"/>
      <c r="E139" s="5"/>
      <c r="F139" s="5"/>
      <c r="G139" s="5"/>
      <c r="H139" s="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 ht="15.75" customHeight="1">
      <c r="A140" s="54"/>
      <c r="B140" s="54"/>
      <c r="C140" s="54"/>
      <c r="D140" s="55"/>
      <c r="E140" s="5"/>
      <c r="F140" s="5"/>
      <c r="G140" s="5"/>
      <c r="H140" s="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 ht="15.75" customHeight="1">
      <c r="A141" s="54"/>
      <c r="B141" s="54"/>
      <c r="C141" s="54"/>
      <c r="D141" s="55"/>
      <c r="E141" s="5"/>
      <c r="F141" s="5"/>
      <c r="G141" s="5"/>
      <c r="H141" s="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 ht="15.75" customHeight="1">
      <c r="A142" s="54"/>
      <c r="B142" s="54"/>
      <c r="C142" s="54"/>
      <c r="D142" s="55"/>
      <c r="E142" s="5"/>
      <c r="F142" s="5"/>
      <c r="G142" s="5"/>
      <c r="H142" s="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 ht="15.75" customHeight="1">
      <c r="A143" s="54"/>
      <c r="B143" s="54"/>
      <c r="C143" s="54"/>
      <c r="D143" s="55"/>
      <c r="E143" s="5"/>
      <c r="F143" s="5"/>
      <c r="G143" s="5"/>
      <c r="H143" s="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 ht="15.75" customHeight="1">
      <c r="A144" s="54"/>
      <c r="B144" s="54"/>
      <c r="C144" s="54"/>
      <c r="D144" s="55"/>
      <c r="E144" s="5"/>
      <c r="F144" s="5"/>
      <c r="G144" s="5"/>
      <c r="H144" s="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ht="15.75" customHeight="1">
      <c r="A145" s="54"/>
      <c r="B145" s="54"/>
      <c r="C145" s="54"/>
      <c r="D145" s="55"/>
      <c r="E145" s="5"/>
      <c r="F145" s="5"/>
      <c r="G145" s="5"/>
      <c r="H145" s="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 ht="15.75" customHeight="1">
      <c r="A146" s="54"/>
      <c r="B146" s="54"/>
      <c r="C146" s="54"/>
      <c r="D146" s="55"/>
      <c r="E146" s="5"/>
      <c r="F146" s="5"/>
      <c r="G146" s="5"/>
      <c r="H146" s="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 ht="15.75" customHeight="1">
      <c r="A147" s="54"/>
      <c r="B147" s="54"/>
      <c r="C147" s="54"/>
      <c r="D147" s="55"/>
      <c r="E147" s="5"/>
      <c r="F147" s="5"/>
      <c r="G147" s="5"/>
      <c r="H147" s="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 ht="15.75" customHeight="1">
      <c r="A148" s="54"/>
      <c r="B148" s="54"/>
      <c r="C148" s="54"/>
      <c r="D148" s="55"/>
      <c r="E148" s="5"/>
      <c r="F148" s="5"/>
      <c r="G148" s="5"/>
      <c r="H148" s="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 ht="15.75" customHeight="1">
      <c r="A149" s="54"/>
      <c r="B149" s="54"/>
      <c r="C149" s="54"/>
      <c r="D149" s="55"/>
      <c r="E149" s="5"/>
      <c r="F149" s="5"/>
      <c r="G149" s="5"/>
      <c r="H149" s="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 ht="15.75" customHeight="1">
      <c r="A150" s="54"/>
      <c r="B150" s="54"/>
      <c r="C150" s="54"/>
      <c r="D150" s="55"/>
      <c r="E150" s="5"/>
      <c r="F150" s="5"/>
      <c r="G150" s="5"/>
      <c r="H150" s="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 ht="15.75" customHeight="1">
      <c r="A151" s="54"/>
      <c r="B151" s="54"/>
      <c r="C151" s="54"/>
      <c r="D151" s="55"/>
      <c r="E151" s="5"/>
      <c r="F151" s="5"/>
      <c r="G151" s="5"/>
      <c r="H151" s="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 ht="15.75" customHeight="1">
      <c r="A152" s="54"/>
      <c r="B152" s="54"/>
      <c r="C152" s="54"/>
      <c r="D152" s="55"/>
      <c r="E152" s="5"/>
      <c r="F152" s="5"/>
      <c r="G152" s="5"/>
      <c r="H152" s="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 ht="15.75" customHeight="1">
      <c r="A153" s="54"/>
      <c r="B153" s="54"/>
      <c r="C153" s="54"/>
      <c r="D153" s="55"/>
      <c r="E153" s="5"/>
      <c r="F153" s="5"/>
      <c r="G153" s="5"/>
      <c r="H153" s="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 ht="15.75" customHeight="1">
      <c r="A154" s="54"/>
      <c r="B154" s="54"/>
      <c r="C154" s="54"/>
      <c r="D154" s="55"/>
      <c r="E154" s="5"/>
      <c r="F154" s="5"/>
      <c r="G154" s="5"/>
      <c r="H154" s="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 ht="15.75" customHeight="1">
      <c r="A155" s="54"/>
      <c r="B155" s="54"/>
      <c r="C155" s="54"/>
      <c r="D155" s="55"/>
      <c r="E155" s="5"/>
      <c r="F155" s="5"/>
      <c r="G155" s="5"/>
      <c r="H155" s="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 ht="15.75" customHeight="1">
      <c r="A156" s="54"/>
      <c r="B156" s="54"/>
      <c r="C156" s="54"/>
      <c r="D156" s="55"/>
      <c r="E156" s="5"/>
      <c r="F156" s="5"/>
      <c r="G156" s="5"/>
      <c r="H156" s="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 ht="15.75" customHeight="1">
      <c r="A157" s="54"/>
      <c r="B157" s="54"/>
      <c r="C157" s="54"/>
      <c r="D157" s="55"/>
      <c r="E157" s="5"/>
      <c r="F157" s="5"/>
      <c r="G157" s="5"/>
      <c r="H157" s="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 ht="15.75" customHeight="1">
      <c r="A158" s="54"/>
      <c r="B158" s="54"/>
      <c r="C158" s="54"/>
      <c r="D158" s="55"/>
      <c r="E158" s="5"/>
      <c r="F158" s="5"/>
      <c r="G158" s="5"/>
      <c r="H158" s="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 ht="15.75" customHeight="1">
      <c r="A159" s="54"/>
      <c r="B159" s="54"/>
      <c r="C159" s="54"/>
      <c r="D159" s="55"/>
      <c r="E159" s="5"/>
      <c r="F159" s="5"/>
      <c r="G159" s="5"/>
      <c r="H159" s="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 ht="15.75" customHeight="1">
      <c r="A160" s="54"/>
      <c r="B160" s="54"/>
      <c r="C160" s="54"/>
      <c r="D160" s="55"/>
      <c r="E160" s="5"/>
      <c r="F160" s="5"/>
      <c r="G160" s="5"/>
      <c r="H160" s="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 ht="15.75" customHeight="1">
      <c r="A161" s="54"/>
      <c r="B161" s="54"/>
      <c r="C161" s="54"/>
      <c r="D161" s="55"/>
      <c r="E161" s="5"/>
      <c r="F161" s="5"/>
      <c r="G161" s="5"/>
      <c r="H161" s="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 ht="15.75" customHeight="1">
      <c r="A162" s="54"/>
      <c r="B162" s="54"/>
      <c r="C162" s="54"/>
      <c r="D162" s="55"/>
      <c r="E162" s="5"/>
      <c r="F162" s="5"/>
      <c r="G162" s="5"/>
      <c r="H162" s="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 ht="15.75" customHeight="1">
      <c r="A163" s="54"/>
      <c r="B163" s="54"/>
      <c r="C163" s="54"/>
      <c r="D163" s="55"/>
      <c r="E163" s="5"/>
      <c r="F163" s="5"/>
      <c r="G163" s="5"/>
      <c r="H163" s="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</row>
    <row r="164" ht="15.75" customHeight="1">
      <c r="A164" s="54"/>
      <c r="B164" s="54"/>
      <c r="C164" s="54"/>
      <c r="D164" s="55"/>
      <c r="E164" s="5"/>
      <c r="F164" s="5"/>
      <c r="G164" s="5"/>
      <c r="H164" s="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 ht="15.75" customHeight="1">
      <c r="A165" s="54"/>
      <c r="B165" s="54"/>
      <c r="C165" s="54"/>
      <c r="D165" s="55"/>
      <c r="E165" s="5"/>
      <c r="F165" s="5"/>
      <c r="G165" s="5"/>
      <c r="H165" s="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 ht="15.75" customHeight="1">
      <c r="A166" s="54"/>
      <c r="B166" s="54"/>
      <c r="C166" s="54"/>
      <c r="D166" s="55"/>
      <c r="E166" s="5"/>
      <c r="F166" s="5"/>
      <c r="G166" s="5"/>
      <c r="H166" s="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</row>
    <row r="167" ht="15.75" customHeight="1">
      <c r="A167" s="54"/>
      <c r="B167" s="54"/>
      <c r="C167" s="54"/>
      <c r="D167" s="55"/>
      <c r="E167" s="5"/>
      <c r="F167" s="5"/>
      <c r="G167" s="5"/>
      <c r="H167" s="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 ht="15.75" customHeight="1">
      <c r="A168" s="54"/>
      <c r="B168" s="54"/>
      <c r="C168" s="54"/>
      <c r="D168" s="55"/>
      <c r="E168" s="5"/>
      <c r="F168" s="5"/>
      <c r="G168" s="5"/>
      <c r="H168" s="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</row>
    <row r="169" ht="15.75" customHeight="1">
      <c r="A169" s="54"/>
      <c r="B169" s="54"/>
      <c r="C169" s="54"/>
      <c r="D169" s="55"/>
      <c r="E169" s="5"/>
      <c r="F169" s="5"/>
      <c r="G169" s="5"/>
      <c r="H169" s="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</row>
    <row r="170" ht="15.75" customHeight="1">
      <c r="A170" s="54"/>
      <c r="B170" s="54"/>
      <c r="C170" s="54"/>
      <c r="D170" s="55"/>
      <c r="E170" s="5"/>
      <c r="F170" s="5"/>
      <c r="G170" s="5"/>
      <c r="H170" s="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</row>
    <row r="171" ht="15.75" customHeight="1">
      <c r="A171" s="54"/>
      <c r="B171" s="54"/>
      <c r="C171" s="54"/>
      <c r="D171" s="55"/>
      <c r="E171" s="5"/>
      <c r="F171" s="5"/>
      <c r="G171" s="5"/>
      <c r="H171" s="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</row>
    <row r="172" ht="15.75" customHeight="1">
      <c r="A172" s="54"/>
      <c r="B172" s="54"/>
      <c r="C172" s="54"/>
      <c r="D172" s="55"/>
      <c r="E172" s="5"/>
      <c r="F172" s="5"/>
      <c r="G172" s="5"/>
      <c r="H172" s="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</row>
    <row r="173" ht="15.75" customHeight="1">
      <c r="A173" s="54"/>
      <c r="B173" s="54"/>
      <c r="C173" s="54"/>
      <c r="D173" s="55"/>
      <c r="E173" s="5"/>
      <c r="F173" s="5"/>
      <c r="G173" s="5"/>
      <c r="H173" s="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</row>
    <row r="174" ht="15.75" customHeight="1">
      <c r="A174" s="54"/>
      <c r="B174" s="54"/>
      <c r="C174" s="54"/>
      <c r="D174" s="55"/>
      <c r="E174" s="5"/>
      <c r="F174" s="5"/>
      <c r="G174" s="5"/>
      <c r="H174" s="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</row>
    <row r="175" ht="15.75" customHeight="1">
      <c r="A175" s="54"/>
      <c r="B175" s="54"/>
      <c r="C175" s="54"/>
      <c r="D175" s="55"/>
      <c r="E175" s="5"/>
      <c r="F175" s="5"/>
      <c r="G175" s="5"/>
      <c r="H175" s="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</row>
    <row r="176" ht="15.75" customHeight="1">
      <c r="A176" s="54"/>
      <c r="B176" s="54"/>
      <c r="C176" s="54"/>
      <c r="D176" s="55"/>
      <c r="E176" s="5"/>
      <c r="F176" s="5"/>
      <c r="G176" s="5"/>
      <c r="H176" s="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</row>
    <row r="177" ht="15.75" customHeight="1">
      <c r="A177" s="54"/>
      <c r="B177" s="54"/>
      <c r="C177" s="54"/>
      <c r="D177" s="55"/>
      <c r="E177" s="5"/>
      <c r="F177" s="5"/>
      <c r="G177" s="5"/>
      <c r="H177" s="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</row>
    <row r="178" ht="15.75" customHeight="1">
      <c r="A178" s="54"/>
      <c r="B178" s="54"/>
      <c r="C178" s="54"/>
      <c r="D178" s="55"/>
      <c r="E178" s="5"/>
      <c r="F178" s="5"/>
      <c r="G178" s="5"/>
      <c r="H178" s="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 ht="15.75" customHeight="1">
      <c r="A179" s="54"/>
      <c r="B179" s="54"/>
      <c r="C179" s="54"/>
      <c r="D179" s="55"/>
      <c r="E179" s="5"/>
      <c r="F179" s="5"/>
      <c r="G179" s="5"/>
      <c r="H179" s="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</row>
    <row r="180" ht="15.75" customHeight="1">
      <c r="A180" s="54"/>
      <c r="B180" s="54"/>
      <c r="C180" s="54"/>
      <c r="D180" s="55"/>
      <c r="E180" s="5"/>
      <c r="F180" s="5"/>
      <c r="G180" s="5"/>
      <c r="H180" s="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</row>
    <row r="181" ht="15.75" customHeight="1">
      <c r="A181" s="54"/>
      <c r="B181" s="54"/>
      <c r="C181" s="54"/>
      <c r="D181" s="55"/>
      <c r="E181" s="5"/>
      <c r="F181" s="5"/>
      <c r="G181" s="5"/>
      <c r="H181" s="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</row>
    <row r="182" ht="15.75" customHeight="1">
      <c r="A182" s="54"/>
      <c r="B182" s="54"/>
      <c r="C182" s="54"/>
      <c r="D182" s="55"/>
      <c r="E182" s="5"/>
      <c r="F182" s="5"/>
      <c r="G182" s="5"/>
      <c r="H182" s="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 ht="15.75" customHeight="1">
      <c r="A183" s="54"/>
      <c r="B183" s="54"/>
      <c r="C183" s="54"/>
      <c r="D183" s="55"/>
      <c r="E183" s="5"/>
      <c r="F183" s="5"/>
      <c r="G183" s="5"/>
      <c r="H183" s="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</row>
    <row r="184" ht="15.75" customHeight="1">
      <c r="A184" s="54"/>
      <c r="B184" s="54"/>
      <c r="C184" s="54"/>
      <c r="D184" s="55"/>
      <c r="E184" s="5"/>
      <c r="F184" s="5"/>
      <c r="G184" s="5"/>
      <c r="H184" s="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</row>
    <row r="185" ht="15.75" customHeight="1">
      <c r="A185" s="54"/>
      <c r="B185" s="54"/>
      <c r="C185" s="54"/>
      <c r="D185" s="55"/>
      <c r="E185" s="5"/>
      <c r="F185" s="5"/>
      <c r="G185" s="5"/>
      <c r="H185" s="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</row>
    <row r="186" ht="15.75" customHeight="1">
      <c r="A186" s="54"/>
      <c r="B186" s="54"/>
      <c r="C186" s="54"/>
      <c r="D186" s="55"/>
      <c r="E186" s="5"/>
      <c r="F186" s="5"/>
      <c r="G186" s="5"/>
      <c r="H186" s="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</row>
    <row r="187" ht="15.75" customHeight="1">
      <c r="A187" s="54"/>
      <c r="B187" s="54"/>
      <c r="C187" s="54"/>
      <c r="D187" s="55"/>
      <c r="E187" s="5"/>
      <c r="F187" s="5"/>
      <c r="G187" s="5"/>
      <c r="H187" s="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</row>
    <row r="188" ht="15.75" customHeight="1">
      <c r="A188" s="54"/>
      <c r="B188" s="54"/>
      <c r="C188" s="54"/>
      <c r="D188" s="55"/>
      <c r="E188" s="5"/>
      <c r="F188" s="5"/>
      <c r="G188" s="5"/>
      <c r="H188" s="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</row>
    <row r="189" ht="15.75" customHeight="1">
      <c r="A189" s="54"/>
      <c r="B189" s="54"/>
      <c r="C189" s="54"/>
      <c r="D189" s="55"/>
      <c r="E189" s="5"/>
      <c r="F189" s="5"/>
      <c r="G189" s="5"/>
      <c r="H189" s="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</row>
    <row r="190" ht="15.75" customHeight="1">
      <c r="A190" s="54"/>
      <c r="B190" s="54"/>
      <c r="C190" s="54"/>
      <c r="D190" s="55"/>
      <c r="E190" s="5"/>
      <c r="F190" s="5"/>
      <c r="G190" s="5"/>
      <c r="H190" s="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</row>
    <row r="191" ht="15.75" customHeight="1">
      <c r="A191" s="54"/>
      <c r="B191" s="54"/>
      <c r="C191" s="54"/>
      <c r="D191" s="55"/>
      <c r="E191" s="5"/>
      <c r="F191" s="5"/>
      <c r="G191" s="5"/>
      <c r="H191" s="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 ht="15.75" customHeight="1">
      <c r="A192" s="54"/>
      <c r="B192" s="54"/>
      <c r="C192" s="54"/>
      <c r="D192" s="55"/>
      <c r="E192" s="5"/>
      <c r="F192" s="5"/>
      <c r="G192" s="5"/>
      <c r="H192" s="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</row>
    <row r="193" ht="15.75" customHeight="1">
      <c r="A193" s="54"/>
      <c r="B193" s="54"/>
      <c r="C193" s="54"/>
      <c r="D193" s="55"/>
      <c r="E193" s="5"/>
      <c r="F193" s="5"/>
      <c r="G193" s="5"/>
      <c r="H193" s="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</row>
    <row r="194" ht="15.75" customHeight="1">
      <c r="A194" s="54"/>
      <c r="B194" s="54"/>
      <c r="C194" s="54"/>
      <c r="D194" s="55"/>
      <c r="E194" s="5"/>
      <c r="F194" s="5"/>
      <c r="G194" s="5"/>
      <c r="H194" s="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</row>
    <row r="195" ht="15.75" customHeight="1">
      <c r="A195" s="54"/>
      <c r="B195" s="54"/>
      <c r="C195" s="54"/>
      <c r="D195" s="55"/>
      <c r="E195" s="5"/>
      <c r="F195" s="5"/>
      <c r="G195" s="5"/>
      <c r="H195" s="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</row>
    <row r="196" ht="15.75" customHeight="1">
      <c r="A196" s="54"/>
      <c r="B196" s="54"/>
      <c r="C196" s="54"/>
      <c r="D196" s="55"/>
      <c r="E196" s="5"/>
      <c r="F196" s="5"/>
      <c r="G196" s="5"/>
      <c r="H196" s="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 ht="15.75" customHeight="1">
      <c r="A197" s="54"/>
      <c r="B197" s="54"/>
      <c r="C197" s="54"/>
      <c r="D197" s="55"/>
      <c r="E197" s="5"/>
      <c r="F197" s="5"/>
      <c r="G197" s="5"/>
      <c r="H197" s="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</row>
    <row r="198" ht="15.75" customHeight="1">
      <c r="A198" s="54"/>
      <c r="B198" s="54"/>
      <c r="C198" s="54"/>
      <c r="D198" s="55"/>
      <c r="E198" s="5"/>
      <c r="F198" s="5"/>
      <c r="G198" s="5"/>
      <c r="H198" s="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</row>
    <row r="199" ht="15.75" customHeight="1">
      <c r="A199" s="54"/>
      <c r="B199" s="54"/>
      <c r="C199" s="54"/>
      <c r="D199" s="55"/>
      <c r="E199" s="5"/>
      <c r="F199" s="5"/>
      <c r="G199" s="5"/>
      <c r="H199" s="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</row>
    <row r="200" ht="15.75" customHeight="1">
      <c r="A200" s="54"/>
      <c r="B200" s="54"/>
      <c r="C200" s="54"/>
      <c r="D200" s="55"/>
      <c r="E200" s="5"/>
      <c r="F200" s="5"/>
      <c r="G200" s="5"/>
      <c r="H200" s="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</row>
    <row r="201" ht="15.75" customHeight="1">
      <c r="A201" s="54"/>
      <c r="B201" s="54"/>
      <c r="C201" s="54"/>
      <c r="D201" s="55"/>
      <c r="E201" s="5"/>
      <c r="F201" s="5"/>
      <c r="G201" s="5"/>
      <c r="H201" s="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</row>
    <row r="202" ht="15.75" customHeight="1">
      <c r="A202" s="54"/>
      <c r="B202" s="54"/>
      <c r="C202" s="54"/>
      <c r="D202" s="55"/>
      <c r="E202" s="5"/>
      <c r="F202" s="5"/>
      <c r="G202" s="5"/>
      <c r="H202" s="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</row>
    <row r="203" ht="15.75" customHeight="1">
      <c r="A203" s="54"/>
      <c r="B203" s="54"/>
      <c r="C203" s="54"/>
      <c r="D203" s="55"/>
      <c r="E203" s="5"/>
      <c r="F203" s="5"/>
      <c r="G203" s="5"/>
      <c r="H203" s="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</row>
    <row r="204" ht="15.75" customHeight="1">
      <c r="A204" s="54"/>
      <c r="B204" s="54"/>
      <c r="C204" s="54"/>
      <c r="D204" s="55"/>
      <c r="E204" s="5"/>
      <c r="F204" s="5"/>
      <c r="G204" s="5"/>
      <c r="H204" s="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</row>
    <row r="205" ht="15.75" customHeight="1">
      <c r="A205" s="54"/>
      <c r="B205" s="54"/>
      <c r="C205" s="54"/>
      <c r="D205" s="55"/>
      <c r="E205" s="5"/>
      <c r="F205" s="5"/>
      <c r="G205" s="5"/>
      <c r="H205" s="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</row>
    <row r="206" ht="15.75" customHeight="1">
      <c r="A206" s="54"/>
      <c r="B206" s="54"/>
      <c r="C206" s="54"/>
      <c r="D206" s="55"/>
      <c r="E206" s="5"/>
      <c r="F206" s="5"/>
      <c r="G206" s="5"/>
      <c r="H206" s="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</row>
    <row r="207" ht="15.75" customHeight="1">
      <c r="A207" s="54"/>
      <c r="B207" s="54"/>
      <c r="C207" s="54"/>
      <c r="D207" s="55"/>
      <c r="E207" s="5"/>
      <c r="F207" s="5"/>
      <c r="G207" s="5"/>
      <c r="H207" s="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</row>
    <row r="208" ht="15.75" customHeight="1">
      <c r="A208" s="54"/>
      <c r="B208" s="54"/>
      <c r="C208" s="54"/>
      <c r="D208" s="55"/>
      <c r="E208" s="5"/>
      <c r="F208" s="5"/>
      <c r="G208" s="5"/>
      <c r="H208" s="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</row>
    <row r="209" ht="15.75" customHeight="1">
      <c r="A209" s="54"/>
      <c r="B209" s="54"/>
      <c r="C209" s="54"/>
      <c r="D209" s="55"/>
      <c r="E209" s="5"/>
      <c r="F209" s="5"/>
      <c r="G209" s="5"/>
      <c r="H209" s="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</row>
    <row r="210" ht="15.75" customHeight="1">
      <c r="A210" s="54"/>
      <c r="B210" s="54"/>
      <c r="C210" s="54"/>
      <c r="D210" s="55"/>
      <c r="E210" s="5"/>
      <c r="F210" s="5"/>
      <c r="G210" s="5"/>
      <c r="H210" s="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</row>
    <row r="211" ht="15.75" customHeight="1">
      <c r="A211" s="54"/>
      <c r="B211" s="54"/>
      <c r="C211" s="54"/>
      <c r="D211" s="55"/>
      <c r="E211" s="5"/>
      <c r="F211" s="5"/>
      <c r="G211" s="5"/>
      <c r="H211" s="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</row>
    <row r="212" ht="15.75" customHeight="1">
      <c r="A212" s="54"/>
      <c r="B212" s="54"/>
      <c r="C212" s="54"/>
      <c r="D212" s="55"/>
      <c r="E212" s="5"/>
      <c r="F212" s="5"/>
      <c r="G212" s="5"/>
      <c r="H212" s="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</row>
    <row r="213" ht="15.75" customHeight="1">
      <c r="A213" s="54"/>
      <c r="B213" s="54"/>
      <c r="C213" s="54"/>
      <c r="D213" s="55"/>
      <c r="E213" s="5"/>
      <c r="F213" s="5"/>
      <c r="G213" s="5"/>
      <c r="H213" s="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</row>
    <row r="214" ht="15.75" customHeight="1">
      <c r="A214" s="54"/>
      <c r="B214" s="54"/>
      <c r="C214" s="54"/>
      <c r="D214" s="55"/>
      <c r="E214" s="5"/>
      <c r="F214" s="5"/>
      <c r="G214" s="5"/>
      <c r="H214" s="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</row>
    <row r="215" ht="15.75" customHeight="1">
      <c r="A215" s="54"/>
      <c r="B215" s="54"/>
      <c r="C215" s="54"/>
      <c r="D215" s="55"/>
      <c r="E215" s="5"/>
      <c r="F215" s="5"/>
      <c r="G215" s="5"/>
      <c r="H215" s="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</row>
    <row r="216" ht="15.75" customHeight="1">
      <c r="A216" s="54"/>
      <c r="B216" s="54"/>
      <c r="C216" s="54"/>
      <c r="D216" s="55"/>
      <c r="E216" s="5"/>
      <c r="F216" s="5"/>
      <c r="G216" s="5"/>
      <c r="H216" s="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</row>
    <row r="217" ht="15.75" customHeight="1">
      <c r="A217" s="54"/>
      <c r="B217" s="54"/>
      <c r="C217" s="54"/>
      <c r="D217" s="55"/>
      <c r="E217" s="5"/>
      <c r="F217" s="5"/>
      <c r="G217" s="5"/>
      <c r="H217" s="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</row>
    <row r="218" ht="15.75" customHeight="1">
      <c r="A218" s="54"/>
      <c r="B218" s="54"/>
      <c r="C218" s="54"/>
      <c r="D218" s="55"/>
      <c r="E218" s="5"/>
      <c r="F218" s="5"/>
      <c r="G218" s="5"/>
      <c r="H218" s="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</row>
    <row r="219" ht="15.75" customHeight="1">
      <c r="A219" s="54"/>
      <c r="B219" s="54"/>
      <c r="C219" s="54"/>
      <c r="D219" s="55"/>
      <c r="E219" s="5"/>
      <c r="F219" s="5"/>
      <c r="G219" s="5"/>
      <c r="H219" s="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</row>
    <row r="220" ht="15.75" customHeight="1">
      <c r="A220" s="54"/>
      <c r="B220" s="54"/>
      <c r="C220" s="54"/>
      <c r="D220" s="55"/>
      <c r="E220" s="5"/>
      <c r="F220" s="5"/>
      <c r="G220" s="5"/>
      <c r="H220" s="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</row>
    <row r="221" ht="15.75" customHeight="1">
      <c r="A221" s="54"/>
      <c r="B221" s="54"/>
      <c r="C221" s="54"/>
      <c r="D221" s="55"/>
      <c r="E221" s="5"/>
      <c r="F221" s="5"/>
      <c r="G221" s="5"/>
      <c r="H221" s="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4:B4"/>
    <mergeCell ref="A5:B5"/>
    <mergeCell ref="A6:B6"/>
    <mergeCell ref="C6:D6"/>
    <mergeCell ref="A1:G1"/>
    <mergeCell ref="A2:B2"/>
    <mergeCell ref="C2:D2"/>
    <mergeCell ref="G2:G5"/>
    <mergeCell ref="A3:B3"/>
    <mergeCell ref="C3:D3"/>
    <mergeCell ref="C4:D4"/>
    <mergeCell ref="D8:D10"/>
    <mergeCell ref="D11:D14"/>
    <mergeCell ref="A11:B11"/>
    <mergeCell ref="A12:B12"/>
    <mergeCell ref="A13:B13"/>
    <mergeCell ref="A14:B14"/>
    <mergeCell ref="C5:D5"/>
    <mergeCell ref="A7:G7"/>
    <mergeCell ref="A8:B8"/>
    <mergeCell ref="E8:G10"/>
    <mergeCell ref="A9:B9"/>
    <mergeCell ref="A10:B10"/>
    <mergeCell ref="E11:G14"/>
    <mergeCell ref="D22:G22"/>
    <mergeCell ref="D23:G23"/>
    <mergeCell ref="D30:G30"/>
    <mergeCell ref="D31:G31"/>
    <mergeCell ref="D32:G32"/>
    <mergeCell ref="D33:G33"/>
    <mergeCell ref="D34:G34"/>
    <mergeCell ref="A15:G15"/>
    <mergeCell ref="D16:G16"/>
    <mergeCell ref="D17:G17"/>
    <mergeCell ref="D18:G18"/>
    <mergeCell ref="D19:G19"/>
    <mergeCell ref="D20:G20"/>
    <mergeCell ref="D21:G21"/>
  </mergeCells>
  <hyperlinks>
    <hyperlink r:id="rId1" ref="J28"/>
    <hyperlink r:id="rId2" ref="J29"/>
    <hyperlink r:id="rId3" ref="K31"/>
    <hyperlink r:id="rId4" ref="K32"/>
    <hyperlink r:id="rId5" ref="K33"/>
    <hyperlink r:id="rId6" ref="K34"/>
  </hyperlinks>
  <printOptions/>
  <pageMargins bottom="0.75" footer="0.0" header="0.0" left="0.7" right="0.7" top="0.75"/>
  <pageSetup orientation="landscape"/>
  <drawing r:id="rId7"/>
  <tableParts count="1"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21.0"/>
    <col customWidth="1" min="3" max="27" width="12.57"/>
  </cols>
  <sheetData>
    <row r="1" ht="30.75" customHeight="1">
      <c r="A1" s="76" t="s">
        <v>105</v>
      </c>
      <c r="B1" s="77" t="s">
        <v>106</v>
      </c>
      <c r="C1" s="78" t="s">
        <v>0</v>
      </c>
      <c r="D1" s="78" t="s">
        <v>44</v>
      </c>
      <c r="E1" s="78" t="s">
        <v>73</v>
      </c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</row>
    <row r="2" ht="15.75" customHeight="1">
      <c r="A2" s="79"/>
      <c r="B2" s="80"/>
      <c r="C2" s="81"/>
      <c r="D2" s="82"/>
      <c r="E2" s="82"/>
      <c r="F2" s="83"/>
      <c r="G2" s="84"/>
      <c r="H2" s="84"/>
      <c r="I2" s="84"/>
      <c r="J2" s="84"/>
      <c r="K2" s="84"/>
      <c r="L2" s="84"/>
      <c r="M2" s="84"/>
      <c r="N2" s="84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</row>
    <row r="3" ht="15.75" customHeight="1">
      <c r="A3" s="79">
        <f t="shared" ref="A3:A8" si="1">AVERAGE(C3:E3)</f>
        <v>11.33333333</v>
      </c>
      <c r="B3" s="86" t="s">
        <v>107</v>
      </c>
      <c r="C3" s="87">
        <f>'Sprint 1'!C8</f>
        <v>8</v>
      </c>
      <c r="D3" s="87">
        <f>'Sprint 2'!C8</f>
        <v>12</v>
      </c>
      <c r="E3" s="87">
        <f>'Sprint 3'!C8</f>
        <v>14</v>
      </c>
      <c r="F3" s="87"/>
      <c r="G3" s="84"/>
      <c r="H3" s="84"/>
      <c r="I3" s="84"/>
      <c r="J3" s="84"/>
      <c r="K3" s="84"/>
      <c r="L3" s="84"/>
      <c r="M3" s="84"/>
      <c r="N3" s="84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</row>
    <row r="4" ht="15.75" customHeight="1">
      <c r="A4" s="79">
        <f t="shared" si="1"/>
        <v>40</v>
      </c>
      <c r="B4" s="88" t="s">
        <v>108</v>
      </c>
      <c r="C4" s="89">
        <f>'Sprint 1'!C9</f>
        <v>24</v>
      </c>
      <c r="D4" s="90">
        <f>'Sprint 2'!C9</f>
        <v>44</v>
      </c>
      <c r="E4" s="90">
        <f>'Sprint 3'!C9</f>
        <v>52</v>
      </c>
      <c r="F4" s="89"/>
      <c r="G4" s="81"/>
      <c r="H4" s="81"/>
      <c r="I4" s="81"/>
      <c r="J4" s="81"/>
      <c r="K4" s="81"/>
      <c r="L4" s="81"/>
      <c r="M4" s="81"/>
      <c r="N4" s="8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</row>
    <row r="5" ht="15.75" customHeight="1">
      <c r="A5" s="79">
        <f t="shared" si="1"/>
        <v>11.33333333</v>
      </c>
      <c r="B5" s="86" t="s">
        <v>109</v>
      </c>
      <c r="C5" s="87">
        <f>'Sprint 1'!C10</f>
        <v>8</v>
      </c>
      <c r="D5" s="87">
        <f>'Sprint 2'!C10</f>
        <v>12</v>
      </c>
      <c r="E5" s="92">
        <f>'Sprint 3'!C10</f>
        <v>14</v>
      </c>
      <c r="F5" s="87"/>
      <c r="G5" s="84"/>
      <c r="H5" s="84"/>
      <c r="I5" s="84"/>
      <c r="J5" s="84"/>
      <c r="K5" s="84"/>
      <c r="L5" s="84"/>
      <c r="M5" s="84"/>
      <c r="N5" s="84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</row>
    <row r="6" ht="15.75" customHeight="1">
      <c r="A6" s="93">
        <f t="shared" si="1"/>
        <v>40</v>
      </c>
      <c r="B6" s="94" t="s">
        <v>110</v>
      </c>
      <c r="C6" s="95">
        <f>'Sprint 1'!C12</f>
        <v>24</v>
      </c>
      <c r="D6" s="96">
        <f>'Sprint 2'!C12</f>
        <v>44</v>
      </c>
      <c r="E6" s="96">
        <f>'Sprint 3'!C12</f>
        <v>52</v>
      </c>
      <c r="F6" s="89"/>
      <c r="G6" s="81"/>
      <c r="H6" s="81"/>
      <c r="I6" s="81"/>
      <c r="J6" s="81"/>
      <c r="K6" s="81"/>
      <c r="L6" s="81"/>
      <c r="M6" s="81"/>
      <c r="N6" s="8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</row>
    <row r="7" ht="15.75" customHeight="1">
      <c r="A7" s="97">
        <f t="shared" si="1"/>
        <v>1.596666667</v>
      </c>
      <c r="B7" s="98" t="s">
        <v>111</v>
      </c>
      <c r="C7" s="99">
        <v>1.6</v>
      </c>
      <c r="D7" s="99">
        <v>1.46</v>
      </c>
      <c r="E7" s="99">
        <v>1.73</v>
      </c>
      <c r="F7" s="100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</row>
    <row r="8" ht="15.75" customHeight="1">
      <c r="A8" s="101">
        <f t="shared" si="1"/>
        <v>1</v>
      </c>
      <c r="B8" s="77" t="s">
        <v>112</v>
      </c>
      <c r="C8" s="102">
        <f t="shared" ref="C8:D8" si="2">(C6/C4)</f>
        <v>1</v>
      </c>
      <c r="D8" s="102">
        <f t="shared" si="2"/>
        <v>1</v>
      </c>
      <c r="E8" s="103">
        <v>1.0</v>
      </c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</row>
    <row r="9" ht="15.75" customHeight="1">
      <c r="A9" s="76"/>
      <c r="B9" s="104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</row>
    <row r="10" ht="15.75" customHeight="1">
      <c r="A10" s="76"/>
      <c r="B10" s="104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</row>
    <row r="11" ht="15.75" customHeight="1">
      <c r="A11" s="76"/>
      <c r="B11" s="104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</row>
    <row r="12" ht="15.75" customHeight="1">
      <c r="A12" s="76"/>
      <c r="B12" s="104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</row>
    <row r="13" ht="15.75" customHeight="1">
      <c r="A13" s="76"/>
      <c r="B13" s="104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</row>
    <row r="14" ht="15.75" customHeight="1">
      <c r="A14" s="76"/>
      <c r="B14" s="104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</row>
    <row r="15" ht="15.75" customHeight="1">
      <c r="A15" s="76"/>
      <c r="B15" s="104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</row>
    <row r="16" ht="15.75" customHeight="1">
      <c r="A16" s="76"/>
      <c r="B16" s="104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</row>
    <row r="17" ht="15.75" customHeight="1">
      <c r="A17" s="76"/>
      <c r="B17" s="104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</row>
    <row r="18" ht="15.75" customHeight="1">
      <c r="A18" s="76"/>
      <c r="B18" s="104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</row>
    <row r="19" ht="15.75" customHeight="1">
      <c r="A19" s="76"/>
      <c r="B19" s="104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</row>
    <row r="20" ht="15.75" customHeight="1">
      <c r="A20" s="76"/>
      <c r="B20" s="104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</row>
    <row r="21" ht="15.75" customHeight="1">
      <c r="A21" s="76"/>
      <c r="B21" s="104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</row>
    <row r="22" ht="15.75" customHeight="1">
      <c r="A22" s="76"/>
      <c r="B22" s="104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</row>
    <row r="23" ht="15.75" customHeight="1">
      <c r="A23" s="76"/>
      <c r="B23" s="104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</row>
    <row r="24" ht="15.75" customHeight="1">
      <c r="A24" s="76"/>
      <c r="B24" s="104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</row>
    <row r="25" ht="15.75" customHeight="1">
      <c r="A25" s="76"/>
      <c r="B25" s="104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</row>
    <row r="26" ht="15.75" customHeight="1">
      <c r="A26" s="76"/>
      <c r="B26" s="104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</row>
    <row r="27" ht="15.75" customHeight="1">
      <c r="A27" s="76"/>
      <c r="B27" s="104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</row>
    <row r="28" ht="15.75" customHeight="1">
      <c r="A28" s="76"/>
      <c r="B28" s="104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</row>
    <row r="29" ht="15.75" customHeight="1">
      <c r="A29" s="76"/>
      <c r="B29" s="104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</row>
    <row r="30" ht="15.75" customHeight="1">
      <c r="A30" s="76"/>
      <c r="B30" s="104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</row>
    <row r="31" ht="15.75" customHeight="1">
      <c r="A31" s="76"/>
      <c r="B31" s="104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</row>
    <row r="32" ht="15.75" customHeight="1">
      <c r="A32" s="76"/>
      <c r="B32" s="104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</row>
    <row r="33" ht="15.75" customHeight="1">
      <c r="A33" s="76"/>
      <c r="B33" s="104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</row>
    <row r="34" ht="15.75" customHeight="1">
      <c r="A34" s="76"/>
      <c r="B34" s="104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</row>
    <row r="35" ht="15.75" customHeight="1">
      <c r="A35" s="76"/>
      <c r="B35" s="104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</row>
    <row r="36" ht="15.75" customHeight="1">
      <c r="A36" s="76"/>
      <c r="B36" s="104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</row>
    <row r="37" ht="15.75" customHeight="1">
      <c r="A37" s="76"/>
      <c r="B37" s="104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</row>
    <row r="38" ht="15.75" customHeight="1">
      <c r="A38" s="76"/>
      <c r="B38" s="104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</row>
    <row r="39" ht="15.75" customHeight="1">
      <c r="A39" s="76"/>
      <c r="B39" s="104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</row>
    <row r="40" ht="15.75" customHeight="1">
      <c r="A40" s="76"/>
      <c r="B40" s="104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</row>
    <row r="41" ht="15.75" customHeight="1">
      <c r="A41" s="76"/>
      <c r="B41" s="104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</row>
    <row r="42" ht="15.75" customHeight="1">
      <c r="A42" s="76"/>
      <c r="B42" s="104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</row>
    <row r="43" ht="15.75" customHeight="1">
      <c r="A43" s="76"/>
      <c r="B43" s="104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</row>
    <row r="44" ht="15.75" customHeight="1">
      <c r="A44" s="76"/>
      <c r="B44" s="104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</row>
    <row r="45" ht="15.75" customHeight="1">
      <c r="A45" s="76"/>
      <c r="B45" s="104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</row>
    <row r="46" ht="15.75" customHeight="1">
      <c r="A46" s="76"/>
      <c r="B46" s="104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</row>
    <row r="47" ht="15.75" customHeight="1">
      <c r="A47" s="76"/>
      <c r="B47" s="104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</row>
    <row r="48" ht="15.75" customHeight="1">
      <c r="A48" s="76"/>
      <c r="B48" s="104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</row>
    <row r="49" ht="15.75" customHeight="1">
      <c r="A49" s="76"/>
      <c r="B49" s="104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</row>
    <row r="50" ht="15.75" customHeight="1">
      <c r="A50" s="76"/>
      <c r="B50" s="104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</row>
    <row r="51" ht="15.75" customHeight="1">
      <c r="A51" s="76"/>
      <c r="B51" s="104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</row>
    <row r="52" ht="15.75" customHeight="1">
      <c r="A52" s="76"/>
      <c r="B52" s="104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</row>
    <row r="53" ht="15.75" customHeight="1">
      <c r="A53" s="76"/>
      <c r="B53" s="104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</row>
    <row r="54" ht="15.75" customHeight="1">
      <c r="A54" s="76"/>
      <c r="B54" s="104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</row>
    <row r="55" ht="15.75" customHeight="1">
      <c r="A55" s="76"/>
      <c r="B55" s="104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</row>
    <row r="56" ht="15.75" customHeight="1">
      <c r="A56" s="76"/>
      <c r="B56" s="104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</row>
    <row r="57" ht="15.75" customHeight="1">
      <c r="A57" s="76"/>
      <c r="B57" s="104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</row>
    <row r="58" ht="15.75" customHeight="1">
      <c r="A58" s="76"/>
      <c r="B58" s="104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</row>
    <row r="59" ht="15.75" customHeight="1">
      <c r="A59" s="76"/>
      <c r="B59" s="104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</row>
    <row r="60" ht="15.75" customHeight="1">
      <c r="A60" s="76"/>
      <c r="B60" s="104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</row>
    <row r="61" ht="15.75" customHeight="1">
      <c r="A61" s="76"/>
      <c r="B61" s="104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</row>
    <row r="62" ht="15.75" customHeight="1">
      <c r="A62" s="76"/>
      <c r="B62" s="104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</row>
    <row r="63" ht="15.75" customHeight="1">
      <c r="A63" s="76"/>
      <c r="B63" s="104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</row>
    <row r="64" ht="15.75" customHeight="1">
      <c r="A64" s="76"/>
      <c r="B64" s="104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</row>
    <row r="65" ht="15.75" customHeight="1">
      <c r="A65" s="76"/>
      <c r="B65" s="104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</row>
    <row r="66" ht="15.75" customHeight="1">
      <c r="A66" s="76"/>
      <c r="B66" s="104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</row>
    <row r="67" ht="15.75" customHeight="1">
      <c r="A67" s="76"/>
      <c r="B67" s="104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</row>
    <row r="68" ht="15.75" customHeight="1">
      <c r="A68" s="76"/>
      <c r="B68" s="104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</row>
    <row r="69" ht="15.75" customHeight="1">
      <c r="A69" s="76"/>
      <c r="B69" s="104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</row>
    <row r="70" ht="15.75" customHeight="1">
      <c r="A70" s="76"/>
      <c r="B70" s="104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</row>
    <row r="71" ht="15.75" customHeight="1">
      <c r="A71" s="76"/>
      <c r="B71" s="104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</row>
    <row r="72" ht="15.75" customHeight="1">
      <c r="A72" s="76"/>
      <c r="B72" s="104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</row>
    <row r="73" ht="15.75" customHeight="1">
      <c r="A73" s="76"/>
      <c r="B73" s="104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</row>
    <row r="74" ht="15.75" customHeight="1">
      <c r="A74" s="76"/>
      <c r="B74" s="104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</row>
    <row r="75" ht="15.75" customHeight="1">
      <c r="A75" s="76"/>
      <c r="B75" s="104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</row>
    <row r="76" ht="15.75" customHeight="1">
      <c r="A76" s="76"/>
      <c r="B76" s="104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</row>
    <row r="77" ht="15.75" customHeight="1">
      <c r="A77" s="76"/>
      <c r="B77" s="104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</row>
    <row r="78" ht="15.75" customHeight="1">
      <c r="A78" s="76"/>
      <c r="B78" s="104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</row>
    <row r="79" ht="15.75" customHeight="1">
      <c r="A79" s="76"/>
      <c r="B79" s="104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</row>
    <row r="80" ht="15.75" customHeight="1">
      <c r="A80" s="76"/>
      <c r="B80" s="104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</row>
    <row r="81" ht="15.75" customHeight="1">
      <c r="A81" s="76"/>
      <c r="B81" s="104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</row>
    <row r="82" ht="15.75" customHeight="1">
      <c r="A82" s="76"/>
      <c r="B82" s="104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</row>
    <row r="83" ht="15.75" customHeight="1">
      <c r="A83" s="76"/>
      <c r="B83" s="104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</row>
    <row r="84" ht="15.75" customHeight="1">
      <c r="A84" s="76"/>
      <c r="B84" s="104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</row>
    <row r="85" ht="15.75" customHeight="1">
      <c r="A85" s="76"/>
      <c r="B85" s="104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</row>
    <row r="86" ht="15.75" customHeight="1">
      <c r="A86" s="76"/>
      <c r="B86" s="104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</row>
    <row r="87" ht="15.75" customHeight="1">
      <c r="A87" s="76"/>
      <c r="B87" s="104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</row>
    <row r="88" ht="15.75" customHeight="1">
      <c r="A88" s="76"/>
      <c r="B88" s="104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</row>
    <row r="89" ht="15.75" customHeight="1">
      <c r="A89" s="76"/>
      <c r="B89" s="104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</row>
    <row r="90" ht="15.75" customHeight="1">
      <c r="A90" s="76"/>
      <c r="B90" s="104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</row>
    <row r="91" ht="15.75" customHeight="1">
      <c r="A91" s="76"/>
      <c r="B91" s="104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</row>
    <row r="92" ht="15.75" customHeight="1">
      <c r="A92" s="76"/>
      <c r="B92" s="104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</row>
    <row r="93" ht="15.75" customHeight="1">
      <c r="A93" s="76"/>
      <c r="B93" s="104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</row>
    <row r="94" ht="15.75" customHeight="1">
      <c r="A94" s="76"/>
      <c r="B94" s="104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</row>
    <row r="95" ht="15.75" customHeight="1">
      <c r="A95" s="76"/>
      <c r="B95" s="104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</row>
    <row r="96" ht="15.75" customHeight="1">
      <c r="A96" s="76"/>
      <c r="B96" s="104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</row>
    <row r="97" ht="15.75" customHeight="1">
      <c r="A97" s="76"/>
      <c r="B97" s="104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</row>
    <row r="98" ht="15.75" customHeight="1">
      <c r="A98" s="76"/>
      <c r="B98" s="104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</row>
    <row r="99" ht="15.75" customHeight="1">
      <c r="A99" s="76"/>
      <c r="B99" s="104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</row>
    <row r="100" ht="15.75" customHeight="1">
      <c r="A100" s="76"/>
      <c r="B100" s="104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</row>
    <row r="101" ht="15.75" customHeight="1">
      <c r="A101" s="76"/>
      <c r="B101" s="104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</row>
    <row r="102" ht="15.75" customHeight="1">
      <c r="A102" s="76"/>
      <c r="B102" s="104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</row>
    <row r="103" ht="15.75" customHeight="1">
      <c r="A103" s="76"/>
      <c r="B103" s="104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</row>
    <row r="104" ht="15.75" customHeight="1">
      <c r="A104" s="76"/>
      <c r="B104" s="104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</row>
    <row r="105" ht="15.75" customHeight="1">
      <c r="A105" s="76"/>
      <c r="B105" s="104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</row>
    <row r="106" ht="15.75" customHeight="1">
      <c r="A106" s="76"/>
      <c r="B106" s="104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</row>
    <row r="107" ht="15.75" customHeight="1">
      <c r="A107" s="76"/>
      <c r="B107" s="104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</row>
    <row r="108" ht="15.75" customHeight="1">
      <c r="A108" s="76"/>
      <c r="B108" s="104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</row>
    <row r="109" ht="15.75" customHeight="1">
      <c r="A109" s="76"/>
      <c r="B109" s="104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</row>
    <row r="110" ht="15.75" customHeight="1">
      <c r="A110" s="76"/>
      <c r="B110" s="104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</row>
    <row r="111" ht="15.75" customHeight="1">
      <c r="A111" s="76"/>
      <c r="B111" s="104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</row>
    <row r="112" ht="15.75" customHeight="1">
      <c r="A112" s="76"/>
      <c r="B112" s="104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</row>
    <row r="113" ht="15.75" customHeight="1">
      <c r="A113" s="76"/>
      <c r="B113" s="104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</row>
    <row r="114" ht="15.75" customHeight="1">
      <c r="A114" s="76"/>
      <c r="B114" s="104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</row>
    <row r="115" ht="15.75" customHeight="1">
      <c r="A115" s="76"/>
      <c r="B115" s="104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</row>
    <row r="116" ht="15.75" customHeight="1">
      <c r="A116" s="76"/>
      <c r="B116" s="104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</row>
    <row r="117" ht="15.75" customHeight="1">
      <c r="A117" s="76"/>
      <c r="B117" s="104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</row>
    <row r="118" ht="15.75" customHeight="1">
      <c r="A118" s="76"/>
      <c r="B118" s="104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</row>
    <row r="119" ht="15.75" customHeight="1">
      <c r="A119" s="76"/>
      <c r="B119" s="104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</row>
    <row r="120" ht="15.75" customHeight="1">
      <c r="A120" s="76"/>
      <c r="B120" s="104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</row>
    <row r="121" ht="15.75" customHeight="1">
      <c r="A121" s="76"/>
      <c r="B121" s="104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</row>
    <row r="122" ht="15.75" customHeight="1">
      <c r="A122" s="76"/>
      <c r="B122" s="104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</row>
    <row r="123" ht="15.75" customHeight="1">
      <c r="A123" s="76"/>
      <c r="B123" s="104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</row>
    <row r="124" ht="15.75" customHeight="1">
      <c r="A124" s="76"/>
      <c r="B124" s="104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</row>
    <row r="125" ht="15.75" customHeight="1">
      <c r="A125" s="76"/>
      <c r="B125" s="104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</row>
    <row r="126" ht="15.75" customHeight="1">
      <c r="A126" s="76"/>
      <c r="B126" s="104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</row>
    <row r="127" ht="15.75" customHeight="1">
      <c r="A127" s="76"/>
      <c r="B127" s="104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</row>
    <row r="128" ht="15.75" customHeight="1">
      <c r="A128" s="76"/>
      <c r="B128" s="104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</row>
    <row r="129" ht="15.75" customHeight="1">
      <c r="A129" s="76"/>
      <c r="B129" s="104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</row>
    <row r="130" ht="15.75" customHeight="1">
      <c r="A130" s="76"/>
      <c r="B130" s="104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</row>
    <row r="131" ht="15.75" customHeight="1">
      <c r="A131" s="76"/>
      <c r="B131" s="104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</row>
    <row r="132" ht="15.75" customHeight="1">
      <c r="A132" s="76"/>
      <c r="B132" s="104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</row>
    <row r="133" ht="15.75" customHeight="1">
      <c r="A133" s="76"/>
      <c r="B133" s="104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</row>
    <row r="134" ht="15.75" customHeight="1">
      <c r="A134" s="76"/>
      <c r="B134" s="104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</row>
    <row r="135" ht="15.75" customHeight="1">
      <c r="A135" s="76"/>
      <c r="B135" s="104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</row>
    <row r="136" ht="15.75" customHeight="1">
      <c r="A136" s="76"/>
      <c r="B136" s="104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</row>
    <row r="137" ht="15.75" customHeight="1">
      <c r="A137" s="76"/>
      <c r="B137" s="104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</row>
    <row r="138" ht="15.75" customHeight="1">
      <c r="A138" s="76"/>
      <c r="B138" s="104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</row>
    <row r="139" ht="15.75" customHeight="1">
      <c r="A139" s="76"/>
      <c r="B139" s="104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</row>
    <row r="140" ht="15.75" customHeight="1">
      <c r="A140" s="76"/>
      <c r="B140" s="104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</row>
    <row r="141" ht="15.75" customHeight="1">
      <c r="A141" s="76"/>
      <c r="B141" s="104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</row>
    <row r="142" ht="15.75" customHeight="1">
      <c r="A142" s="76"/>
      <c r="B142" s="104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</row>
    <row r="143" ht="15.75" customHeight="1">
      <c r="A143" s="76"/>
      <c r="B143" s="104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</row>
    <row r="144" ht="15.75" customHeight="1">
      <c r="A144" s="76"/>
      <c r="B144" s="104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</row>
    <row r="145" ht="15.75" customHeight="1">
      <c r="A145" s="76"/>
      <c r="B145" s="104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</row>
    <row r="146" ht="15.75" customHeight="1">
      <c r="A146" s="76"/>
      <c r="B146" s="104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</row>
    <row r="147" ht="15.75" customHeight="1">
      <c r="A147" s="76"/>
      <c r="B147" s="104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</row>
    <row r="148" ht="15.75" customHeight="1">
      <c r="A148" s="76"/>
      <c r="B148" s="104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</row>
    <row r="149" ht="15.75" customHeight="1">
      <c r="A149" s="76"/>
      <c r="B149" s="104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</row>
    <row r="150" ht="15.75" customHeight="1">
      <c r="A150" s="76"/>
      <c r="B150" s="104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</row>
    <row r="151" ht="15.75" customHeight="1">
      <c r="A151" s="76"/>
      <c r="B151" s="104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</row>
    <row r="152" ht="15.75" customHeight="1">
      <c r="A152" s="76"/>
      <c r="B152" s="104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</row>
    <row r="153" ht="15.75" customHeight="1">
      <c r="A153" s="76"/>
      <c r="B153" s="104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</row>
    <row r="154" ht="15.75" customHeight="1">
      <c r="A154" s="76"/>
      <c r="B154" s="104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</row>
    <row r="155" ht="15.75" customHeight="1">
      <c r="A155" s="76"/>
      <c r="B155" s="104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</row>
    <row r="156" ht="15.75" customHeight="1">
      <c r="A156" s="76"/>
      <c r="B156" s="104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</row>
    <row r="157" ht="15.75" customHeight="1">
      <c r="A157" s="76"/>
      <c r="B157" s="104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</row>
    <row r="158" ht="15.75" customHeight="1">
      <c r="A158" s="76"/>
      <c r="B158" s="104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</row>
    <row r="159" ht="15.75" customHeight="1">
      <c r="A159" s="76"/>
      <c r="B159" s="104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</row>
    <row r="160" ht="15.75" customHeight="1">
      <c r="A160" s="76"/>
      <c r="B160" s="104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</row>
    <row r="161" ht="15.75" customHeight="1">
      <c r="A161" s="76"/>
      <c r="B161" s="104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</row>
    <row r="162" ht="15.75" customHeight="1">
      <c r="A162" s="76"/>
      <c r="B162" s="104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</row>
    <row r="163" ht="15.75" customHeight="1">
      <c r="A163" s="76"/>
      <c r="B163" s="104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</row>
    <row r="164" ht="15.75" customHeight="1">
      <c r="A164" s="76"/>
      <c r="B164" s="104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</row>
    <row r="165" ht="15.75" customHeight="1">
      <c r="A165" s="76"/>
      <c r="B165" s="104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</row>
    <row r="166" ht="15.75" customHeight="1">
      <c r="A166" s="76"/>
      <c r="B166" s="104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</row>
    <row r="167" ht="15.75" customHeight="1">
      <c r="A167" s="76"/>
      <c r="B167" s="104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</row>
    <row r="168" ht="15.75" customHeight="1">
      <c r="A168" s="76"/>
      <c r="B168" s="104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</row>
    <row r="169" ht="15.75" customHeight="1">
      <c r="A169" s="76"/>
      <c r="B169" s="104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</row>
    <row r="170" ht="15.75" customHeight="1">
      <c r="A170" s="76"/>
      <c r="B170" s="104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</row>
    <row r="171" ht="15.75" customHeight="1">
      <c r="A171" s="76"/>
      <c r="B171" s="104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</row>
    <row r="172" ht="15.75" customHeight="1">
      <c r="A172" s="76"/>
      <c r="B172" s="104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</row>
    <row r="173" ht="15.75" customHeight="1">
      <c r="A173" s="76"/>
      <c r="B173" s="104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</row>
    <row r="174" ht="15.75" customHeight="1">
      <c r="A174" s="76"/>
      <c r="B174" s="104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</row>
    <row r="175" ht="15.75" customHeight="1">
      <c r="A175" s="76"/>
      <c r="B175" s="104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</row>
    <row r="176" ht="15.75" customHeight="1">
      <c r="A176" s="76"/>
      <c r="B176" s="104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</row>
    <row r="177" ht="15.75" customHeight="1">
      <c r="A177" s="76"/>
      <c r="B177" s="104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</row>
    <row r="178" ht="15.75" customHeight="1">
      <c r="A178" s="76"/>
      <c r="B178" s="104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</row>
    <row r="179" ht="15.75" customHeight="1">
      <c r="A179" s="76"/>
      <c r="B179" s="104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</row>
    <row r="180" ht="15.75" customHeight="1">
      <c r="A180" s="76"/>
      <c r="B180" s="104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</row>
    <row r="181" ht="15.75" customHeight="1">
      <c r="A181" s="76"/>
      <c r="B181" s="104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</row>
    <row r="182" ht="15.75" customHeight="1">
      <c r="A182" s="76"/>
      <c r="B182" s="104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</row>
    <row r="183" ht="15.75" customHeight="1">
      <c r="A183" s="76"/>
      <c r="B183" s="104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</row>
    <row r="184" ht="15.75" customHeight="1">
      <c r="A184" s="76"/>
      <c r="B184" s="104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</row>
    <row r="185" ht="15.75" customHeight="1">
      <c r="A185" s="76"/>
      <c r="B185" s="104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</row>
    <row r="186" ht="15.75" customHeight="1">
      <c r="A186" s="76"/>
      <c r="B186" s="104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</row>
    <row r="187" ht="15.75" customHeight="1">
      <c r="A187" s="76"/>
      <c r="B187" s="104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</row>
    <row r="188" ht="15.75" customHeight="1">
      <c r="A188" s="76"/>
      <c r="B188" s="104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</row>
    <row r="189" ht="15.75" customHeight="1">
      <c r="A189" s="76"/>
      <c r="B189" s="104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</row>
    <row r="190" ht="15.75" customHeight="1">
      <c r="A190" s="76"/>
      <c r="B190" s="104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</row>
    <row r="191" ht="15.75" customHeight="1">
      <c r="A191" s="76"/>
      <c r="B191" s="104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</row>
    <row r="192" ht="15.75" customHeight="1">
      <c r="A192" s="76"/>
      <c r="B192" s="104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</row>
    <row r="193" ht="15.75" customHeight="1">
      <c r="A193" s="76"/>
      <c r="B193" s="104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</row>
    <row r="194" ht="15.75" customHeight="1">
      <c r="A194" s="76"/>
      <c r="B194" s="104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</row>
    <row r="195" ht="15.75" customHeight="1">
      <c r="A195" s="76"/>
      <c r="B195" s="104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</row>
    <row r="196" ht="15.75" customHeight="1">
      <c r="A196" s="76"/>
      <c r="B196" s="104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</row>
    <row r="197" ht="15.75" customHeight="1">
      <c r="A197" s="76"/>
      <c r="B197" s="104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</row>
    <row r="198" ht="15.75" customHeight="1">
      <c r="A198" s="76"/>
      <c r="B198" s="104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</row>
    <row r="199" ht="15.75" customHeight="1">
      <c r="A199" s="76"/>
      <c r="B199" s="104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</row>
    <row r="200" ht="15.75" customHeight="1">
      <c r="A200" s="76"/>
      <c r="B200" s="104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</row>
    <row r="201" ht="15.75" customHeight="1">
      <c r="A201" s="76"/>
      <c r="B201" s="104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</row>
    <row r="202" ht="15.75" customHeight="1">
      <c r="A202" s="76"/>
      <c r="B202" s="104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</row>
    <row r="203" ht="15.75" customHeight="1">
      <c r="A203" s="76"/>
      <c r="B203" s="104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</row>
    <row r="204" ht="15.75" customHeight="1">
      <c r="A204" s="76"/>
      <c r="B204" s="104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</row>
    <row r="205" ht="15.75" customHeight="1">
      <c r="A205" s="76"/>
      <c r="B205" s="104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</row>
    <row r="206" ht="15.75" customHeight="1">
      <c r="A206" s="76"/>
      <c r="B206" s="104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</row>
    <row r="207" ht="15.75" customHeight="1">
      <c r="A207" s="76"/>
      <c r="B207" s="104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</row>
    <row r="208" ht="15.75" customHeight="1">
      <c r="A208" s="76"/>
      <c r="B208" s="104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</row>
    <row r="209" ht="15.75" customHeight="1">
      <c r="A209" s="76"/>
      <c r="B209" s="104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</row>
    <row r="210" ht="15.75" customHeight="1">
      <c r="A210" s="76"/>
      <c r="B210" s="104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</row>
    <row r="211" ht="15.75" customHeight="1">
      <c r="A211" s="76"/>
      <c r="B211" s="104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</row>
    <row r="212" ht="15.75" customHeight="1">
      <c r="A212" s="76"/>
      <c r="B212" s="104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</row>
    <row r="213" ht="15.75" customHeight="1">
      <c r="A213" s="76"/>
      <c r="B213" s="104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</row>
    <row r="214" ht="15.75" customHeight="1">
      <c r="A214" s="76"/>
      <c r="B214" s="104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</row>
    <row r="215" ht="15.75" customHeight="1">
      <c r="A215" s="76"/>
      <c r="B215" s="104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</row>
    <row r="216" ht="15.75" customHeight="1">
      <c r="A216" s="76"/>
      <c r="B216" s="104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</row>
    <row r="217" ht="15.75" customHeight="1">
      <c r="A217" s="76"/>
      <c r="B217" s="104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</row>
    <row r="218" ht="15.75" customHeight="1">
      <c r="A218" s="76"/>
      <c r="B218" s="104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</row>
    <row r="219" ht="15.75" customHeight="1">
      <c r="A219" s="76"/>
      <c r="B219" s="104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</row>
    <row r="220" ht="15.75" customHeight="1">
      <c r="A220" s="76"/>
      <c r="B220" s="104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